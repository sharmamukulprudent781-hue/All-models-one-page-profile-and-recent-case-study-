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372" activeTab="8"/>
  </bookViews>
  <sheets>
    <sheet name="Sheet1 (2)" sheetId="9" r:id="rId1"/>
    <sheet name="Profit &amp; Loss" sheetId="1" r:id="rId2"/>
    <sheet name="Sheet2" sheetId="8" r:id="rId3"/>
    <sheet name="Quarters" sheetId="3" r:id="rId4"/>
    <sheet name="Balance Sheet" sheetId="2" r:id="rId5"/>
    <sheet name="Cash Flow" sheetId="4" r:id="rId6"/>
    <sheet name="Customization" sheetId="5" r:id="rId7"/>
    <sheet name="Data Sheet" sheetId="6" r:id="rId8"/>
    <sheet name="Sheet1" sheetId="7" r:id="rId9"/>
  </sheets>
  <definedNames>
    <definedName name="UPDATE">'Data Sheet'!$E$1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6" i="9" l="1"/>
  <c r="I26" i="9"/>
  <c r="H26" i="9"/>
  <c r="G26" i="9"/>
  <c r="F26" i="9"/>
  <c r="J25" i="9"/>
  <c r="I25" i="9"/>
  <c r="H25" i="9"/>
  <c r="G25" i="9"/>
  <c r="F25" i="9"/>
  <c r="J24" i="9"/>
  <c r="I24" i="9"/>
  <c r="H24" i="9"/>
  <c r="G24" i="9"/>
  <c r="F24" i="9"/>
  <c r="J23" i="9"/>
  <c r="I23" i="9"/>
  <c r="H23" i="9"/>
  <c r="G23" i="9"/>
  <c r="F23" i="9"/>
  <c r="J22" i="9"/>
  <c r="I22" i="9"/>
  <c r="H22" i="9"/>
  <c r="G22" i="9"/>
  <c r="F22" i="9"/>
  <c r="J20" i="9"/>
  <c r="I20" i="9"/>
  <c r="H20" i="9"/>
  <c r="G20" i="9"/>
  <c r="F20" i="9"/>
  <c r="J19" i="9"/>
  <c r="I19" i="9"/>
  <c r="H19" i="9"/>
  <c r="G19" i="9"/>
  <c r="F19" i="9"/>
  <c r="J18" i="9"/>
  <c r="I18" i="9"/>
  <c r="H18" i="9"/>
  <c r="G18" i="9"/>
  <c r="F18" i="9"/>
  <c r="F23" i="7" l="1"/>
  <c r="G23" i="7"/>
  <c r="H23" i="7"/>
  <c r="I23" i="7"/>
  <c r="J23" i="7"/>
  <c r="F24" i="7"/>
  <c r="G24" i="7"/>
  <c r="H24" i="7"/>
  <c r="I24" i="7"/>
  <c r="J24" i="7"/>
  <c r="F25" i="7"/>
  <c r="G25" i="7"/>
  <c r="H25" i="7"/>
  <c r="I25" i="7"/>
  <c r="J25" i="7"/>
  <c r="F26" i="7"/>
  <c r="G26" i="7"/>
  <c r="H26" i="7"/>
  <c r="I26" i="7"/>
  <c r="J26" i="7"/>
  <c r="F22" i="7"/>
  <c r="G22" i="7"/>
  <c r="H22" i="7"/>
  <c r="I22" i="7"/>
  <c r="J22" i="7"/>
  <c r="F20" i="7"/>
  <c r="G20" i="7"/>
  <c r="H20" i="7"/>
  <c r="I20" i="7"/>
  <c r="J20" i="7"/>
  <c r="F19" i="7"/>
  <c r="G19" i="7"/>
  <c r="H19" i="7"/>
  <c r="I19" i="7"/>
  <c r="J19" i="7"/>
  <c r="F18" i="7"/>
  <c r="G18" i="7"/>
  <c r="H18" i="7"/>
  <c r="I18" i="7"/>
  <c r="J18" i="7"/>
  <c r="F37" i="1"/>
  <c r="G37" i="1"/>
  <c r="H37" i="1"/>
  <c r="I37" i="1"/>
  <c r="J37" i="1"/>
  <c r="D34" i="1"/>
  <c r="E34" i="1"/>
  <c r="F34" i="1"/>
  <c r="G34" i="1"/>
  <c r="H34" i="1"/>
  <c r="I34" i="1"/>
  <c r="D32" i="1"/>
  <c r="E32" i="1"/>
  <c r="F32" i="1"/>
  <c r="G32" i="1"/>
  <c r="H32" i="1"/>
  <c r="I32" i="1"/>
  <c r="E4" i="1"/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E20" i="2" s="1"/>
  <c r="F17" i="2"/>
  <c r="G18" i="2"/>
  <c r="H18" i="2"/>
  <c r="I18" i="2"/>
  <c r="J18" i="2"/>
  <c r="K18" i="2"/>
  <c r="C18" i="2"/>
  <c r="D18" i="2"/>
  <c r="E18" i="2"/>
  <c r="F18" i="2"/>
  <c r="G19" i="2"/>
  <c r="H19" i="2"/>
  <c r="I19" i="2"/>
  <c r="J19" i="2"/>
  <c r="K19" i="2"/>
  <c r="B17" i="2"/>
  <c r="C4" i="2"/>
  <c r="D4" i="2"/>
  <c r="E4" i="2"/>
  <c r="E5" i="2"/>
  <c r="F4" i="2"/>
  <c r="G5" i="2"/>
  <c r="H5" i="2"/>
  <c r="I5" i="2"/>
  <c r="I6" i="2"/>
  <c r="J5" i="2"/>
  <c r="J6" i="2"/>
  <c r="K5" i="2"/>
  <c r="C5" i="2"/>
  <c r="D5" i="2"/>
  <c r="F5" i="2"/>
  <c r="G6" i="2"/>
  <c r="H6" i="2"/>
  <c r="K6" i="2"/>
  <c r="C6" i="2"/>
  <c r="D6" i="2"/>
  <c r="E6" i="2"/>
  <c r="F6" i="2"/>
  <c r="G7" i="2"/>
  <c r="H7" i="2"/>
  <c r="I7" i="2"/>
  <c r="J7" i="2"/>
  <c r="K7" i="2"/>
  <c r="C7" i="2"/>
  <c r="C16" i="2" s="1"/>
  <c r="D7" i="2"/>
  <c r="E7" i="2"/>
  <c r="F7" i="2"/>
  <c r="G8" i="2"/>
  <c r="H8" i="2"/>
  <c r="I8" i="2"/>
  <c r="J8" i="2"/>
  <c r="K8" i="2"/>
  <c r="C8" i="2"/>
  <c r="D8" i="2"/>
  <c r="E8" i="2"/>
  <c r="F8" i="2"/>
  <c r="G9" i="2"/>
  <c r="H9" i="2"/>
  <c r="I9" i="2"/>
  <c r="J9" i="2"/>
  <c r="K9" i="2"/>
  <c r="C10" i="2"/>
  <c r="D10" i="2"/>
  <c r="E10" i="2"/>
  <c r="F10" i="2"/>
  <c r="G11" i="2"/>
  <c r="H11" i="2"/>
  <c r="I11" i="2"/>
  <c r="J11" i="2"/>
  <c r="K11" i="2"/>
  <c r="C11" i="2"/>
  <c r="D11" i="2"/>
  <c r="E11" i="2"/>
  <c r="F11" i="2"/>
  <c r="G12" i="2"/>
  <c r="H12" i="2"/>
  <c r="I12" i="2"/>
  <c r="J12" i="2"/>
  <c r="K12" i="2"/>
  <c r="C12" i="2"/>
  <c r="D12" i="2"/>
  <c r="E12" i="2"/>
  <c r="F12" i="2"/>
  <c r="G13" i="2"/>
  <c r="H13" i="2"/>
  <c r="I13" i="2"/>
  <c r="J13" i="2"/>
  <c r="K13" i="2"/>
  <c r="C13" i="2"/>
  <c r="D13" i="2"/>
  <c r="E13" i="2"/>
  <c r="F13" i="2"/>
  <c r="F16" i="2" s="1"/>
  <c r="G14" i="2"/>
  <c r="H14" i="2"/>
  <c r="I14" i="2"/>
  <c r="J14" i="2"/>
  <c r="K14" i="2"/>
  <c r="C14" i="2"/>
  <c r="D14" i="2"/>
  <c r="E14" i="2"/>
  <c r="F14" i="2"/>
  <c r="G15" i="2"/>
  <c r="H15" i="2"/>
  <c r="I15" i="2"/>
  <c r="J15" i="2"/>
  <c r="K15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20" i="2" s="1"/>
  <c r="D4" i="1"/>
  <c r="D20" i="2" s="1"/>
  <c r="F4" i="1"/>
  <c r="F20" i="2" s="1"/>
  <c r="G4" i="1"/>
  <c r="G6" i="1" s="1"/>
  <c r="G19" i="1" s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D23" i="2" s="1"/>
  <c r="E12" i="1"/>
  <c r="F12" i="1"/>
  <c r="F13" i="1" s="1"/>
  <c r="G12" i="1"/>
  <c r="H12" i="1"/>
  <c r="H13" i="1" s="1"/>
  <c r="I12" i="1"/>
  <c r="I13" i="1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B7" i="1"/>
  <c r="B4" i="1"/>
  <c r="B20" i="2" s="1"/>
  <c r="A1" i="1"/>
  <c r="A1" i="3" s="1"/>
  <c r="E1" i="6"/>
  <c r="H1" i="1" s="1"/>
  <c r="E1" i="2"/>
  <c r="E1" i="3"/>
  <c r="D16" i="2"/>
  <c r="E6" i="1"/>
  <c r="E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4" i="2"/>
  <c r="H4" i="2"/>
  <c r="I4" i="2"/>
  <c r="J4" i="2"/>
  <c r="K4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E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I14" i="3"/>
  <c r="G14" i="3"/>
  <c r="L12" i="1"/>
  <c r="L13" i="1" s="1"/>
  <c r="L11" i="1"/>
  <c r="L10" i="1"/>
  <c r="L6" i="1"/>
  <c r="L4" i="1"/>
  <c r="L5" i="1"/>
  <c r="I22" i="2" l="1"/>
  <c r="F23" i="2"/>
  <c r="F14" i="1"/>
  <c r="I6" i="1"/>
  <c r="I19" i="1" s="1"/>
  <c r="H17" i="2"/>
  <c r="D21" i="2"/>
  <c r="K21" i="2"/>
  <c r="H22" i="2"/>
  <c r="B6" i="1"/>
  <c r="B19" i="1" s="1"/>
  <c r="D6" i="1"/>
  <c r="D19" i="1" s="1"/>
  <c r="C14" i="1"/>
  <c r="J6" i="1"/>
  <c r="J19" i="1" s="1"/>
  <c r="J22" i="2"/>
  <c r="N11" i="1"/>
  <c r="J21" i="2"/>
  <c r="G21" i="2"/>
  <c r="L23" i="1"/>
  <c r="L14" i="1"/>
  <c r="L25" i="1" s="1"/>
  <c r="J23" i="1"/>
  <c r="L19" i="1"/>
  <c r="L24" i="1" s="1"/>
  <c r="K14" i="1"/>
  <c r="K22" i="2"/>
  <c r="G22" i="2"/>
  <c r="C21" i="2"/>
  <c r="C6" i="1"/>
  <c r="C19" i="1" s="1"/>
  <c r="K6" i="1"/>
  <c r="K19" i="1" s="1"/>
  <c r="I23" i="1"/>
  <c r="H23" i="1"/>
  <c r="A1" i="2"/>
  <c r="A1" i="4" s="1"/>
  <c r="F21" i="2"/>
  <c r="C23" i="2"/>
  <c r="J17" i="2"/>
  <c r="K17" i="2"/>
  <c r="E23" i="2"/>
  <c r="H24" i="2"/>
  <c r="J14" i="1"/>
  <c r="I17" i="2"/>
  <c r="G24" i="2"/>
  <c r="B23" i="2"/>
  <c r="H14" i="1"/>
  <c r="G17" i="2"/>
  <c r="G25" i="2"/>
  <c r="E24" i="2"/>
  <c r="G13" i="1"/>
  <c r="G14" i="1" s="1"/>
  <c r="D13" i="1"/>
  <c r="E13" i="1" s="1"/>
  <c r="E14" i="1" s="1"/>
  <c r="L9" i="1"/>
  <c r="M9" i="1" s="1"/>
  <c r="L8" i="1"/>
  <c r="N8" i="1" s="1"/>
  <c r="L7" i="1"/>
  <c r="E16" i="2"/>
  <c r="J24" i="2"/>
  <c r="J25" i="2"/>
  <c r="D24" i="2"/>
  <c r="K25" i="2"/>
  <c r="I25" i="2"/>
  <c r="M11" i="1"/>
  <c r="B14" i="1"/>
  <c r="K24" i="2"/>
  <c r="I14" i="1"/>
  <c r="C24" i="2"/>
  <c r="I24" i="2"/>
  <c r="H25" i="2"/>
  <c r="F24" i="2"/>
  <c r="I21" i="2"/>
  <c r="H21" i="2"/>
  <c r="K23" i="1"/>
  <c r="H6" i="1"/>
  <c r="H19" i="1" s="1"/>
  <c r="F6" i="1"/>
  <c r="F19" i="1" s="1"/>
  <c r="E1" i="4"/>
  <c r="J24" i="1" l="1"/>
  <c r="K24" i="1"/>
  <c r="J25" i="1"/>
  <c r="K25" i="1"/>
  <c r="M25" i="1" s="1"/>
  <c r="M14" i="1" s="1"/>
  <c r="M23" i="1"/>
  <c r="M4" i="1" s="1"/>
  <c r="I25" i="1"/>
  <c r="M24" i="1"/>
  <c r="M6" i="1" s="1"/>
  <c r="M8" i="1"/>
  <c r="N9" i="1"/>
  <c r="I24" i="1"/>
  <c r="N23" i="1"/>
  <c r="N4" i="1" s="1"/>
  <c r="H24" i="1"/>
  <c r="D14" i="1"/>
  <c r="H25" i="1" s="1"/>
  <c r="M10" i="1" l="1"/>
  <c r="M12" i="1" s="1"/>
  <c r="M13" i="1" s="1"/>
  <c r="M15" i="1" s="1"/>
  <c r="N25" i="1"/>
  <c r="N14" i="1" s="1"/>
  <c r="N24" i="1"/>
  <c r="N6" i="1" s="1"/>
  <c r="M5" i="1"/>
  <c r="N10" i="1" l="1"/>
  <c r="N12" i="1" s="1"/>
  <c r="N13" i="1" s="1"/>
  <c r="N15" i="1" s="1"/>
  <c r="N5" i="1"/>
</calcChain>
</file>

<file path=xl/sharedStrings.xml><?xml version="1.0" encoding="utf-8"?>
<sst xmlns="http://schemas.openxmlformats.org/spreadsheetml/2006/main" count="273" uniqueCount="159">
  <si>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</si>
  <si>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</si>
  <si>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</si>
  <si>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</si>
  <si>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</si>
  <si>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</si>
  <si>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</si>
  <si>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</si>
  <si>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</si>
  <si>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</si>
  <si>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</si>
  <si>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</si>
  <si>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</si>
  <si>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</si>
  <si>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</si>
  <si>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</si>
  <si>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</si>
  <si>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</si>
  <si>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</si>
  <si>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</si>
  <si>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</si>
  <si>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</si>
  <si>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</si>
  <si>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</si>
  <si>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</si>
  <si>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</si>
  <si>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</si>
  <si>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</si>
  <si>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</si>
  <si>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</si>
  <si>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</si>
  <si>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</si>
  <si>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</si>
  <si>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</si>
  <si>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</si>
  <si>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</si>
  <si>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</si>
  <si>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</si>
  <si>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</si>
  <si>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</si>
  <si>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</si>
  <si>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</si>
  <si>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</si>
  <si>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</si>
  <si>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</si>
  <si>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</si>
  <si>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</si>
  <si>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</si>
  <si>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</si>
  <si>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</si>
  <si>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</si>
  <si>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</si>
  <si>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</si>
  <si>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</si>
  <si>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</si>
  <si>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</si>
  <si>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</si>
  <si>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</si>
  <si>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</si>
  <si>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</si>
  <si>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</si>
  <si>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</si>
  <si>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</si>
  <si>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</si>
  <si>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</si>
  <si>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</si>
  <si>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</si>
  <si>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</si>
  <si>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</si>
  <si>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</si>
  <si>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</si>
  <si>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</si>
  <si>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</si>
  <si>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</si>
  <si>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</si>
  <si>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</si>
  <si>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</si>
  <si>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</si>
  <si>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</si>
  <si>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</si>
  <si>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</si>
  <si>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</si>
  <si>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</si>
  <si>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</si>
  <si>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</si>
  <si>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</si>
  <si>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</si>
  <si>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</si>
  <si>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</si>
  <si>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</si>
  <si>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</si>
  <si>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</si>
  <si>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entury Gothic"/>
        <family val="2"/>
        <scheme val="minor"/>
      </rPr>
      <t>support@screener.in</t>
    </r>
  </si>
  <si>
    <t>One Page profile -ITC limited</t>
  </si>
  <si>
    <t>KEY Financial Matrix</t>
  </si>
  <si>
    <t>TOTAL SALES</t>
  </si>
  <si>
    <t>SALES Growth(y-o-y)</t>
  </si>
  <si>
    <t>Sales growth %</t>
  </si>
  <si>
    <t>EBITDA %</t>
  </si>
  <si>
    <t>EBITDA%(Y-O-Y)</t>
  </si>
  <si>
    <t>NP%</t>
  </si>
  <si>
    <t>NP(%)</t>
  </si>
  <si>
    <t>ROE%</t>
  </si>
  <si>
    <t>ROCE%</t>
  </si>
  <si>
    <t xml:space="preserve">SHAREHOLDING PATTERN </t>
  </si>
  <si>
    <t>FII</t>
  </si>
  <si>
    <t>DII</t>
  </si>
  <si>
    <t xml:space="preserve">GOVERNMENT </t>
  </si>
  <si>
    <t xml:space="preserve">PUBLIC </t>
  </si>
  <si>
    <t>olding Pattern</t>
  </si>
  <si>
    <t>Numbers in percentages</t>
  </si>
  <si>
    <t>QuarterlyYearly</t>
  </si>
  <si>
    <t>Trades</t>
  </si>
  <si>
    <r>
      <t>FIIs </t>
    </r>
    <r>
      <rPr>
        <sz val="11"/>
        <color rgb="FF665EFD"/>
        <rFont val="Arial"/>
        <family val="2"/>
      </rPr>
      <t>+</t>
    </r>
  </si>
  <si>
    <r>
      <t>DIIs </t>
    </r>
    <r>
      <rPr>
        <sz val="11"/>
        <color rgb="FF665EFD"/>
        <rFont val="Arial"/>
        <family val="2"/>
      </rPr>
      <t>+</t>
    </r>
  </si>
  <si>
    <r>
      <t>Government </t>
    </r>
    <r>
      <rPr>
        <sz val="11"/>
        <color rgb="FF665EFD"/>
        <rFont val="Arial"/>
        <family val="2"/>
      </rPr>
      <t>+</t>
    </r>
  </si>
  <si>
    <r>
      <t>Public </t>
    </r>
    <r>
      <rPr>
        <sz val="11"/>
        <color rgb="FF665EFD"/>
        <rFont val="Arial"/>
        <family val="2"/>
      </rPr>
      <t>+</t>
    </r>
  </si>
  <si>
    <t>No. of Shareholders</t>
  </si>
  <si>
    <t>5,47,642</t>
  </si>
  <si>
    <t>7,95,843</t>
  </si>
  <si>
    <t>8,57,729</t>
  </si>
  <si>
    <t>13,02,214</t>
  </si>
  <si>
    <t>21,96,475</t>
  </si>
  <si>
    <t>28,40,964</t>
  </si>
  <si>
    <t>29,30,527</t>
  </si>
  <si>
    <t>36,48,537</t>
  </si>
  <si>
    <t>36,47,886</t>
  </si>
  <si>
    <t>40,41,653</t>
  </si>
  <si>
    <t xml:space="preserve">PEERS  COMPARISON </t>
  </si>
  <si>
    <t>.No.</t>
  </si>
  <si>
    <t>Name</t>
  </si>
  <si>
    <r>
      <t>CMP </t>
    </r>
    <r>
      <rPr>
        <sz val="11"/>
        <color rgb="FF737373"/>
        <rFont val="Arial"/>
        <family val="2"/>
      </rPr>
      <t>Rs.</t>
    </r>
  </si>
  <si>
    <t>P/E</t>
  </si>
  <si>
    <r>
      <t>Mar Cap </t>
    </r>
    <r>
      <rPr>
        <sz val="11"/>
        <color rgb="FF737373"/>
        <rFont val="Arial"/>
        <family val="2"/>
      </rPr>
      <t>Rs.Cr.</t>
    </r>
  </si>
  <si>
    <r>
      <t>Div Yld </t>
    </r>
    <r>
      <rPr>
        <sz val="11"/>
        <color rgb="FF737373"/>
        <rFont val="Arial"/>
        <family val="2"/>
      </rPr>
      <t>%</t>
    </r>
  </si>
  <si>
    <r>
      <t>NP Qtr </t>
    </r>
    <r>
      <rPr>
        <sz val="11"/>
        <color rgb="FF737373"/>
        <rFont val="Arial"/>
        <family val="2"/>
      </rPr>
      <t>Rs.Cr.</t>
    </r>
  </si>
  <si>
    <r>
      <t>Qtr Profit Var </t>
    </r>
    <r>
      <rPr>
        <sz val="11"/>
        <color rgb="FF737373"/>
        <rFont val="Arial"/>
        <family val="2"/>
      </rPr>
      <t>%</t>
    </r>
  </si>
  <si>
    <r>
      <t>Sales Qtr </t>
    </r>
    <r>
      <rPr>
        <sz val="11"/>
        <color rgb="FF737373"/>
        <rFont val="Arial"/>
        <family val="2"/>
      </rPr>
      <t>Rs.Cr.</t>
    </r>
  </si>
  <si>
    <r>
      <t>ROCE </t>
    </r>
    <r>
      <rPr>
        <sz val="11"/>
        <color rgb="FF737373"/>
        <rFont val="Arial"/>
        <family val="2"/>
      </rPr>
      <t>%</t>
    </r>
  </si>
  <si>
    <r>
      <t>Debt </t>
    </r>
    <r>
      <rPr>
        <sz val="11"/>
        <color rgb="FF737373"/>
        <rFont val="Arial"/>
        <family val="2"/>
      </rPr>
      <t>Rs.Cr.</t>
    </r>
  </si>
  <si>
    <t>EV / EBIT</t>
  </si>
  <si>
    <r>
      <t>Sales </t>
    </r>
    <r>
      <rPr>
        <sz val="11"/>
        <color rgb="FF737373"/>
        <rFont val="Arial"/>
        <family val="2"/>
      </rPr>
      <t>Rs.Cr.</t>
    </r>
  </si>
  <si>
    <t>Hind. Unilever</t>
  </si>
  <si>
    <t>ITC</t>
  </si>
  <si>
    <t>Hindustan Foods</t>
  </si>
  <si>
    <t>Godavari Bioref.</t>
  </si>
  <si>
    <t>Davangere Sugar</t>
  </si>
  <si>
    <t xml:space="preserve">RECENT  UPDATES </t>
  </si>
  <si>
    <t>*ITC LTD said they will work on AI segment and removes the all outdated software.</t>
  </si>
  <si>
    <t>*company CEO also confirm that return on equity will grow in the mid of 15 to 20%.</t>
  </si>
  <si>
    <t>*company also claim that they will aquire some few companies and want to expand in FMCG sector.</t>
  </si>
  <si>
    <t>ause company needs fresh funds.</t>
  </si>
  <si>
    <t xml:space="preserve">            CAPITAL STRUCTURE </t>
  </si>
  <si>
    <t>MARKET CAPS -363225</t>
  </si>
  <si>
    <t>LESS-CASH -30008</t>
  </si>
  <si>
    <t>(IN CRS)</t>
  </si>
  <si>
    <t>*company also claim that they will probably go with FPO after this year because company needs more funds.</t>
  </si>
  <si>
    <t>DEBT-</t>
  </si>
  <si>
    <t>ENTERPRISE VALUE-=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</si>
</sst>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28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theme="1"/>
      <name val="Century Gothic"/>
      <family val="2"/>
      <scheme val="minor"/>
    </font>
    <font>
      <u/>
      <sz val="11"/>
      <color theme="10"/>
      <name val="Calibri"/>
      <family val="2"/>
    </font>
    <font>
      <sz val="11"/>
      <color theme="0"/>
      <name val="Century Gothic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entury Gothic"/>
      <family val="2"/>
      <scheme val="minor"/>
    </font>
    <font>
      <b/>
      <sz val="11"/>
      <color rgb="FFFF0000"/>
      <name val="Century Gothic"/>
      <family val="2"/>
      <scheme val="minor"/>
    </font>
    <font>
      <sz val="11"/>
      <name val="Century Gothic"/>
      <family val="2"/>
      <scheme val="minor"/>
    </font>
    <font>
      <sz val="20"/>
      <color theme="1"/>
      <name val="Century Gothic"/>
      <family val="2"/>
      <scheme val="minor"/>
    </font>
    <font>
      <sz val="8"/>
      <color rgb="FF1F1F1F"/>
      <name val="Arial"/>
      <family val="2"/>
    </font>
    <font>
      <sz val="10"/>
      <color rgb="FF22222F"/>
      <name val="Arial"/>
      <family val="2"/>
    </font>
    <font>
      <sz val="18"/>
      <color rgb="FF22222F"/>
      <name val="Arial"/>
      <family val="2"/>
    </font>
    <font>
      <sz val="10"/>
      <color rgb="FF606F7B"/>
      <name val="Arial"/>
      <family val="2"/>
    </font>
    <font>
      <sz val="9.6"/>
      <color rgb="FF22222F"/>
      <name val="Arial"/>
      <family val="2"/>
    </font>
    <font>
      <sz val="11"/>
      <color rgb="FF606F7B"/>
      <name val="Arial"/>
      <family val="2"/>
    </font>
    <font>
      <sz val="11"/>
      <color theme="1"/>
      <name val="Arial"/>
      <family val="2"/>
    </font>
    <font>
      <sz val="11"/>
      <color rgb="FF665EFD"/>
      <name val="Arial"/>
      <family val="2"/>
    </font>
    <font>
      <sz val="11"/>
      <color rgb="FF606F7B"/>
      <name val="Arial"/>
      <family val="2"/>
    </font>
    <font>
      <b/>
      <i/>
      <sz val="11"/>
      <color theme="1"/>
      <name val="Century Gothic"/>
      <family val="2"/>
      <scheme val="minor"/>
    </font>
    <font>
      <b/>
      <i/>
      <sz val="11"/>
      <color theme="0"/>
      <name val="Century Gothic"/>
      <family val="2"/>
      <scheme val="minor"/>
    </font>
    <font>
      <sz val="11"/>
      <color rgb="FF737373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b/>
      <u/>
      <sz val="16"/>
      <color rgb="FFFF0000"/>
      <name val="Century Gothic"/>
      <family val="2"/>
      <scheme val="minor"/>
    </font>
    <font>
      <sz val="12"/>
      <color theme="8" tint="-0.249977111117893"/>
      <name val="Century Gothic"/>
      <family val="2"/>
      <scheme val="minor"/>
    </font>
    <font>
      <b/>
      <u/>
      <sz val="12"/>
      <color theme="8" tint="-0.249977111117893"/>
      <name val="Century Gothic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645DF9"/>
      </top>
      <bottom style="medium">
        <color rgb="FF645DF9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92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0" fontId="10" fillId="7" borderId="0" xfId="0" applyFont="1" applyFill="1"/>
    <xf numFmtId="0" fontId="0" fillId="7" borderId="0" xfId="0" applyFill="1"/>
    <xf numFmtId="0" fontId="0" fillId="8" borderId="0" xfId="0" applyFill="1"/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9" fontId="0" fillId="0" borderId="0" xfId="6" applyFont="1" applyBorder="1"/>
    <xf numFmtId="9" fontId="0" fillId="0" borderId="0" xfId="0" applyNumberFormat="1"/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6" fillId="9" borderId="2" xfId="0" applyFont="1" applyFill="1" applyBorder="1" applyAlignment="1">
      <alignment horizontal="left" vertical="center" wrapText="1" indent="2"/>
    </xf>
    <xf numFmtId="17" fontId="16" fillId="9" borderId="2" xfId="0" applyNumberFormat="1" applyFont="1" applyFill="1" applyBorder="1" applyAlignment="1">
      <alignment horizontal="right" vertical="center" wrapText="1"/>
    </xf>
    <xf numFmtId="0" fontId="17" fillId="10" borderId="0" xfId="0" applyFont="1" applyFill="1" applyAlignment="1">
      <alignment horizontal="left" vertical="center" wrapText="1" indent="2"/>
    </xf>
    <xf numFmtId="10" fontId="0" fillId="0" borderId="0" xfId="0" applyNumberFormat="1"/>
    <xf numFmtId="10" fontId="17" fillId="10" borderId="0" xfId="0" applyNumberFormat="1" applyFont="1" applyFill="1" applyAlignment="1">
      <alignment horizontal="right" vertical="center" wrapText="1"/>
    </xf>
    <xf numFmtId="0" fontId="17" fillId="9" borderId="0" xfId="0" applyFont="1" applyFill="1" applyAlignment="1">
      <alignment horizontal="left" vertical="center" wrapText="1" indent="2"/>
    </xf>
    <xf numFmtId="10" fontId="17" fillId="9" borderId="0" xfId="0" applyNumberFormat="1" applyFont="1" applyFill="1" applyAlignment="1">
      <alignment horizontal="right" vertical="center" wrapText="1"/>
    </xf>
    <xf numFmtId="0" fontId="19" fillId="9" borderId="0" xfId="0" applyFont="1" applyFill="1" applyAlignment="1">
      <alignment horizontal="left" vertical="center" wrapText="1" indent="2"/>
    </xf>
    <xf numFmtId="0" fontId="19" fillId="9" borderId="0" xfId="0" applyFont="1" applyFill="1" applyAlignment="1">
      <alignment horizontal="right" vertical="center" wrapText="1"/>
    </xf>
    <xf numFmtId="165" fontId="0" fillId="7" borderId="0" xfId="0" applyNumberFormat="1" applyFill="1"/>
    <xf numFmtId="0" fontId="1" fillId="7" borderId="0" xfId="0" applyFont="1" applyFill="1"/>
    <xf numFmtId="0" fontId="20" fillId="7" borderId="0" xfId="0" applyFont="1" applyFill="1"/>
    <xf numFmtId="165" fontId="21" fillId="7" borderId="0" xfId="0" applyNumberFormat="1" applyFont="1" applyFill="1" applyBorder="1" applyAlignment="1">
      <alignment horizontal="center"/>
    </xf>
    <xf numFmtId="0" fontId="16" fillId="9" borderId="2" xfId="0" applyFont="1" applyFill="1" applyBorder="1" applyAlignment="1">
      <alignment horizontal="left" vertical="center" indent="2"/>
    </xf>
    <xf numFmtId="0" fontId="16" fillId="9" borderId="2" xfId="0" applyFont="1" applyFill="1" applyBorder="1" applyAlignment="1">
      <alignment horizontal="left" vertical="center"/>
    </xf>
    <xf numFmtId="0" fontId="16" fillId="9" borderId="2" xfId="0" applyFont="1" applyFill="1" applyBorder="1" applyAlignment="1">
      <alignment horizontal="right" vertical="center" wrapText="1"/>
    </xf>
    <xf numFmtId="0" fontId="23" fillId="10" borderId="0" xfId="0" applyFont="1" applyFill="1" applyAlignment="1">
      <alignment horizontal="left" vertical="center" indent="2"/>
    </xf>
    <xf numFmtId="0" fontId="4" fillId="10" borderId="0" xfId="2" applyFill="1" applyAlignment="1" applyProtection="1">
      <alignment horizontal="left" vertical="center"/>
    </xf>
    <xf numFmtId="0" fontId="23" fillId="10" borderId="0" xfId="0" applyFont="1" applyFill="1" applyAlignment="1">
      <alignment horizontal="right" vertical="center" wrapText="1"/>
    </xf>
    <xf numFmtId="0" fontId="24" fillId="9" borderId="0" xfId="0" applyFont="1" applyFill="1" applyAlignment="1">
      <alignment horizontal="left" vertical="center" indent="2"/>
    </xf>
    <xf numFmtId="0" fontId="4" fillId="9" borderId="0" xfId="2" applyFill="1" applyAlignment="1" applyProtection="1">
      <alignment horizontal="left" vertical="center"/>
    </xf>
    <xf numFmtId="0" fontId="24" fillId="9" borderId="0" xfId="0" applyFont="1" applyFill="1" applyAlignment="1">
      <alignment horizontal="right" vertical="center" wrapText="1"/>
    </xf>
    <xf numFmtId="0" fontId="23" fillId="9" borderId="0" xfId="0" applyFont="1" applyFill="1" applyAlignment="1">
      <alignment horizontal="left" vertical="center" indent="2"/>
    </xf>
    <xf numFmtId="0" fontId="23" fillId="9" borderId="0" xfId="0" applyFont="1" applyFill="1" applyAlignment="1">
      <alignment horizontal="right" vertical="center" wrapText="1"/>
    </xf>
    <xf numFmtId="0" fontId="23" fillId="10" borderId="3" xfId="0" applyFont="1" applyFill="1" applyBorder="1" applyAlignment="1">
      <alignment horizontal="left" vertical="center" indent="2"/>
    </xf>
    <xf numFmtId="0" fontId="4" fillId="10" borderId="3" xfId="2" applyFill="1" applyBorder="1" applyAlignment="1" applyProtection="1">
      <alignment horizontal="left" vertical="center"/>
    </xf>
    <xf numFmtId="0" fontId="23" fillId="10" borderId="3" xfId="0" applyFont="1" applyFill="1" applyBorder="1" applyAlignment="1">
      <alignment horizontal="right" vertical="center" wrapText="1"/>
    </xf>
    <xf numFmtId="0" fontId="23" fillId="10" borderId="0" xfId="0" applyFont="1" applyFill="1" applyAlignment="1">
      <alignment horizontal="left" vertical="top"/>
    </xf>
    <xf numFmtId="0" fontId="4" fillId="10" borderId="0" xfId="2" applyFill="1" applyAlignment="1" applyProtection="1">
      <alignment horizontal="left" vertical="top"/>
    </xf>
    <xf numFmtId="0" fontId="23" fillId="10" borderId="0" xfId="0" applyFont="1" applyFill="1" applyAlignment="1">
      <alignment horizontal="right" vertical="top" wrapText="1"/>
    </xf>
    <xf numFmtId="0" fontId="24" fillId="9" borderId="0" xfId="0" applyFont="1" applyFill="1" applyAlignment="1">
      <alignment horizontal="left" vertical="top"/>
    </xf>
    <xf numFmtId="0" fontId="4" fillId="9" borderId="0" xfId="2" applyFill="1" applyAlignment="1" applyProtection="1">
      <alignment horizontal="left" vertical="top"/>
    </xf>
    <xf numFmtId="0" fontId="24" fillId="9" borderId="0" xfId="0" applyFont="1" applyFill="1" applyAlignment="1">
      <alignment horizontal="right" vertical="top" wrapText="1"/>
    </xf>
    <xf numFmtId="0" fontId="23" fillId="9" borderId="0" xfId="0" applyFont="1" applyFill="1" applyAlignment="1">
      <alignment horizontal="left" vertical="top"/>
    </xf>
    <xf numFmtId="0" fontId="23" fillId="9" borderId="0" xfId="0" applyFont="1" applyFill="1" applyAlignment="1">
      <alignment horizontal="right" vertical="top" wrapText="1"/>
    </xf>
    <xf numFmtId="0" fontId="23" fillId="10" borderId="3" xfId="0" applyFont="1" applyFill="1" applyBorder="1" applyAlignment="1">
      <alignment horizontal="left" vertical="top"/>
    </xf>
    <xf numFmtId="0" fontId="4" fillId="10" borderId="3" xfId="2" applyFill="1" applyBorder="1" applyAlignment="1" applyProtection="1">
      <alignment horizontal="left" vertical="top"/>
    </xf>
    <xf numFmtId="0" fontId="23" fillId="10" borderId="3" xfId="0" applyFont="1" applyFill="1" applyBorder="1" applyAlignment="1">
      <alignment horizontal="right" vertical="top" wrapText="1"/>
    </xf>
    <xf numFmtId="0" fontId="16" fillId="6" borderId="2" xfId="0" applyFont="1" applyFill="1" applyBorder="1" applyAlignment="1">
      <alignment horizontal="left" vertical="top"/>
    </xf>
    <xf numFmtId="0" fontId="16" fillId="6" borderId="2" xfId="0" applyFont="1" applyFill="1" applyBorder="1" applyAlignment="1">
      <alignment horizontal="right" vertical="top" wrapText="1"/>
    </xf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  <xf numFmtId="0" fontId="25" fillId="0" borderId="0" xfId="0" applyFont="1" applyAlignment="1">
      <alignment horizontal="left" vertical="center"/>
    </xf>
    <xf numFmtId="0" fontId="26" fillId="0" borderId="0" xfId="0" applyFont="1"/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2" fontId="27" fillId="0" borderId="0" xfId="0" applyNumberFormat="1" applyFont="1" applyAlignment="1">
      <alignment horizontal="left" vertic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22860</xdr:colOff>
      <xdr:row>6</xdr:row>
      <xdr:rowOff>175260</xdr:rowOff>
    </xdr:from>
    <xdr:to>
      <xdr:col>10</xdr:col>
      <xdr:colOff>327660</xdr:colOff>
      <xdr:row>8</xdr:row>
      <xdr:rowOff>133591</xdr:rowOff>
    </xdr:to>
    <xdr:sp macro="" textlink="">
      <xdr:nvSpPr>
        <xdr:cNvPr id="2" name="AutoShape 2" descr="ITC Limited Logo"/>
        <xdr:cNvSpPr>
          <a:spLocks noChangeAspect="1" noChangeArrowheads="1"/>
        </xdr:cNvSpPr>
      </xdr:nvSpPr>
      <xdr:spPr bwMode="auto">
        <a:xfrm>
          <a:off x="7437120" y="1371600"/>
          <a:ext cx="304800" cy="308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304800</xdr:colOff>
      <xdr:row>6</xdr:row>
      <xdr:rowOff>131180</xdr:rowOff>
    </xdr:to>
    <xdr:sp macro="" textlink="">
      <xdr:nvSpPr>
        <xdr:cNvPr id="3" name="AutoShape 4" descr="ITC Limited Logo"/>
        <xdr:cNvSpPr>
          <a:spLocks noChangeAspect="1" noChangeArrowheads="1"/>
        </xdr:cNvSpPr>
      </xdr:nvSpPr>
      <xdr:spPr bwMode="auto">
        <a:xfrm>
          <a:off x="7414260" y="1021080"/>
          <a:ext cx="304800" cy="306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2</xdr:row>
      <xdr:rowOff>304800</xdr:rowOff>
    </xdr:to>
    <xdr:sp macro="" textlink="">
      <xdr:nvSpPr>
        <xdr:cNvPr id="4" name="AutoShape 5" descr="ITC Limited Logo"/>
        <xdr:cNvSpPr>
          <a:spLocks noChangeAspect="1" noChangeArrowheads="1"/>
        </xdr:cNvSpPr>
      </xdr:nvSpPr>
      <xdr:spPr bwMode="auto">
        <a:xfrm>
          <a:off x="6758940" y="35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83820</xdr:rowOff>
    </xdr:from>
    <xdr:to>
      <xdr:col>2</xdr:col>
      <xdr:colOff>169762</xdr:colOff>
      <xdr:row>8</xdr:row>
      <xdr:rowOff>123270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4380"/>
          <a:ext cx="1510882" cy="915750"/>
        </a:xfrm>
        <a:prstGeom prst="rect">
          <a:avLst/>
        </a:prstGeom>
      </xdr:spPr>
    </xdr:pic>
    <xdr:clientData/>
  </xdr:twoCellAnchor>
  <xdr:twoCellAnchor>
    <xdr:from>
      <xdr:col>2</xdr:col>
      <xdr:colOff>135037</xdr:colOff>
      <xdr:row>3</xdr:row>
      <xdr:rowOff>135038</xdr:rowOff>
    </xdr:from>
    <xdr:to>
      <xdr:col>10</xdr:col>
      <xdr:colOff>0</xdr:colOff>
      <xdr:row>8</xdr:row>
      <xdr:rowOff>135038</xdr:rowOff>
    </xdr:to>
    <xdr:sp macro="" textlink="">
      <xdr:nvSpPr>
        <xdr:cNvPr id="6" name="Text Box 6"/>
        <xdr:cNvSpPr txBox="1">
          <a:spLocks noChangeArrowheads="1"/>
        </xdr:cNvSpPr>
      </xdr:nvSpPr>
      <xdr:spPr bwMode="auto">
        <a:xfrm>
          <a:off x="1476157" y="805598"/>
          <a:ext cx="5938103" cy="876300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ITC Limited is an Indian conglomerate, headquartered in Kolkata. It has a presence across six business segments, namely FMCG, agribusiness, information technology, paper products, and packaging. It generates a plurality of its revenue from tobacco products.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22860</xdr:colOff>
      <xdr:row>6</xdr:row>
      <xdr:rowOff>175260</xdr:rowOff>
    </xdr:from>
    <xdr:to>
      <xdr:col>10</xdr:col>
      <xdr:colOff>327660</xdr:colOff>
      <xdr:row>8</xdr:row>
      <xdr:rowOff>133591</xdr:rowOff>
    </xdr:to>
    <xdr:sp macro="" textlink="">
      <xdr:nvSpPr>
        <xdr:cNvPr id="1026" name="AutoShape 2" descr="ITC Limited Logo"/>
        <xdr:cNvSpPr>
          <a:spLocks noChangeAspect="1" noChangeArrowheads="1"/>
        </xdr:cNvSpPr>
      </xdr:nvSpPr>
      <xdr:spPr bwMode="auto">
        <a:xfrm>
          <a:off x="6118860" y="16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304800</xdr:colOff>
      <xdr:row>6</xdr:row>
      <xdr:rowOff>131180</xdr:rowOff>
    </xdr:to>
    <xdr:sp macro="" textlink="">
      <xdr:nvSpPr>
        <xdr:cNvPr id="1028" name="AutoShape 4" descr="ITC Limited Logo"/>
        <xdr:cNvSpPr>
          <a:spLocks noChangeAspect="1" noChangeArrowheads="1"/>
        </xdr:cNvSpPr>
      </xdr:nvSpPr>
      <xdr:spPr bwMode="auto">
        <a:xfrm>
          <a:off x="5486400" y="105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2</xdr:row>
      <xdr:rowOff>304800</xdr:rowOff>
    </xdr:to>
    <xdr:sp macro="" textlink="">
      <xdr:nvSpPr>
        <xdr:cNvPr id="1029" name="AutoShape 5" descr="ITC Limited Logo"/>
        <xdr:cNvSpPr>
          <a:spLocks noChangeAspect="1" noChangeArrowheads="1"/>
        </xdr:cNvSpPr>
      </xdr:nvSpPr>
      <xdr:spPr bwMode="auto">
        <a:xfrm>
          <a:off x="54864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83820</xdr:rowOff>
    </xdr:from>
    <xdr:to>
      <xdr:col>2</xdr:col>
      <xdr:colOff>169762</xdr:colOff>
      <xdr:row>8</xdr:row>
      <xdr:rowOff>123270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7240"/>
          <a:ext cx="1524000" cy="906780"/>
        </a:xfrm>
        <a:prstGeom prst="rect">
          <a:avLst/>
        </a:prstGeom>
      </xdr:spPr>
    </xdr:pic>
    <xdr:clientData/>
  </xdr:twoCellAnchor>
  <xdr:twoCellAnchor>
    <xdr:from>
      <xdr:col>2</xdr:col>
      <xdr:colOff>135037</xdr:colOff>
      <xdr:row>3</xdr:row>
      <xdr:rowOff>135038</xdr:rowOff>
    </xdr:from>
    <xdr:to>
      <xdr:col>10</xdr:col>
      <xdr:colOff>0</xdr:colOff>
      <xdr:row>8</xdr:row>
      <xdr:rowOff>135038</xdr:rowOff>
    </xdr:to>
    <xdr:sp macro="" textlink="">
      <xdr:nvSpPr>
        <xdr:cNvPr id="1030" name="Text Box 6"/>
        <xdr:cNvSpPr txBox="1">
          <a:spLocks noChangeArrowheads="1"/>
        </xdr:cNvSpPr>
      </xdr:nvSpPr>
      <xdr:spPr bwMode="auto">
        <a:xfrm>
          <a:off x="1350379" y="829519"/>
          <a:ext cx="4726330" cy="916329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ITC Limited is an Indian conglomerate, headquartered in Kolkata. It has a presence across six business segments, namely FMCG, agribusiness, information technology, paper products, and packaging. It generates a plurality of its revenue from tobacco products.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HNDFDS/consolidated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screener.in/company/ITC/consolidated/" TargetMode="External"/><Relationship Id="rId1" Type="http://schemas.openxmlformats.org/officeDocument/2006/relationships/hyperlink" Target="https://www.screener.in/company/HINDUNILVR/consolidated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screener.in/company/DAVANGERE/" TargetMode="External"/><Relationship Id="rId4" Type="http://schemas.openxmlformats.org/officeDocument/2006/relationships/hyperlink" Target="https://www.screener.in/company/GODAVARIB/consolidated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HNDFDS/consolidated/" TargetMode="External"/><Relationship Id="rId2" Type="http://schemas.openxmlformats.org/officeDocument/2006/relationships/hyperlink" Target="https://www.screener.in/company/ITC/consolidated/" TargetMode="External"/><Relationship Id="rId1" Type="http://schemas.openxmlformats.org/officeDocument/2006/relationships/hyperlink" Target="https://www.screener.in/company/HINDUNILVR/consolidated/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screener.in/company/DAVANGERE/" TargetMode="External"/><Relationship Id="rId4" Type="http://schemas.openxmlformats.org/officeDocument/2006/relationships/hyperlink" Target="https://www.screener.in/company/GODAVARIB/consolidated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screener.in/excel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HNDFDS/consolidated/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screener.in/company/ITC/consolidated/" TargetMode="External"/><Relationship Id="rId1" Type="http://schemas.openxmlformats.org/officeDocument/2006/relationships/hyperlink" Target="https://www.screener.in/company/HINDUNILVR/consolidated/" TargetMode="External"/><Relationship Id="rId6" Type="http://schemas.openxmlformats.org/officeDocument/2006/relationships/printerSettings" Target="../printerSettings/printerSettings8.bin"/><Relationship Id="rId5" Type="http://schemas.openxmlformats.org/officeDocument/2006/relationships/hyperlink" Target="https://www.screener.in/company/DAVANGERE/" TargetMode="External"/><Relationship Id="rId4" Type="http://schemas.openxmlformats.org/officeDocument/2006/relationships/hyperlink" Target="https://www.screener.in/company/GODAVARIB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3"/>
  <sheetViews>
    <sheetView showGridLines="0" zoomScale="79" zoomScaleNormal="79" workbookViewId="0">
      <selection activeCell="K8" sqref="K8"/>
    </sheetView>
  </sheetViews>
  <sheetFormatPr defaultRowHeight="13.8" x14ac:dyDescent="0.25"/>
  <cols>
    <col min="3" max="3" width="17.69921875" customWidth="1"/>
    <col min="8" max="8" width="7.796875" customWidth="1"/>
    <col min="9" max="9" width="10.3984375" customWidth="1"/>
    <col min="10" max="10" width="8.59765625" customWidth="1"/>
    <col min="12" max="12" width="9.296875" customWidth="1"/>
    <col min="13" max="13" width="10.5" customWidth="1"/>
    <col min="14" max="14" width="14.5" customWidth="1"/>
  </cols>
  <sheetData>
    <row r="3" spans="2:14" ht="25.2" x14ac:dyDescent="0.4">
      <c r="B3" s="32" t="s">
        <v>93</v>
      </c>
      <c r="C3" s="33"/>
      <c r="D3" s="33"/>
      <c r="E3" s="33"/>
      <c r="F3" s="33"/>
    </row>
    <row r="5" spans="2:14" x14ac:dyDescent="0.25">
      <c r="C5" s="35"/>
      <c r="E5" s="35"/>
      <c r="F5" s="35"/>
      <c r="G5" s="35"/>
      <c r="H5" s="35"/>
      <c r="I5" s="36"/>
      <c r="J5" s="36"/>
      <c r="K5" s="36"/>
    </row>
    <row r="6" spans="2:14" x14ac:dyDescent="0.25">
      <c r="C6" s="35"/>
      <c r="D6" s="35"/>
      <c r="E6" s="35"/>
      <c r="F6" s="35"/>
      <c r="G6" s="35"/>
      <c r="H6" s="35"/>
      <c r="I6" s="35"/>
      <c r="J6" s="36"/>
      <c r="K6" s="36"/>
    </row>
    <row r="7" spans="2:14" x14ac:dyDescent="0.25">
      <c r="C7" s="35"/>
      <c r="D7" s="35"/>
      <c r="E7" s="35"/>
      <c r="F7" s="35"/>
      <c r="G7" s="35"/>
      <c r="H7" s="35"/>
      <c r="I7" s="35"/>
      <c r="J7" s="36"/>
      <c r="K7" s="36"/>
    </row>
    <row r="8" spans="2:14" x14ac:dyDescent="0.25">
      <c r="C8" s="35"/>
      <c r="D8" s="35"/>
      <c r="E8" s="35"/>
      <c r="F8" s="35"/>
      <c r="G8" s="35"/>
      <c r="H8" s="35"/>
      <c r="I8" s="35"/>
      <c r="J8" s="36"/>
      <c r="K8" s="36"/>
    </row>
    <row r="9" spans="2:14" x14ac:dyDescent="0.25">
      <c r="C9" s="35"/>
      <c r="D9" s="35"/>
      <c r="E9" s="35"/>
      <c r="F9" s="35"/>
      <c r="G9" s="35"/>
      <c r="H9" s="35"/>
      <c r="I9" s="35"/>
      <c r="J9" s="36"/>
      <c r="K9" s="36"/>
    </row>
    <row r="10" spans="2:14" x14ac:dyDescent="0.25">
      <c r="D10" s="35"/>
      <c r="E10" s="35"/>
      <c r="F10" s="35"/>
      <c r="G10" s="35"/>
      <c r="H10" s="35"/>
      <c r="I10" s="35"/>
      <c r="J10" s="36"/>
      <c r="K10" s="36"/>
    </row>
    <row r="13" spans="2:14" x14ac:dyDescent="0.25">
      <c r="B13" s="55" t="s">
        <v>94</v>
      </c>
      <c r="C13" s="55"/>
      <c r="D13" s="55"/>
      <c r="E13" s="55"/>
      <c r="F13" s="56">
        <v>44651</v>
      </c>
      <c r="G13" s="56">
        <v>45016</v>
      </c>
      <c r="H13" s="56">
        <v>45382</v>
      </c>
      <c r="I13" s="56">
        <v>45747</v>
      </c>
      <c r="J13" s="56">
        <v>46112</v>
      </c>
    </row>
    <row r="15" spans="2:14" ht="20.399999999999999" x14ac:dyDescent="0.25">
      <c r="B15" t="s">
        <v>95</v>
      </c>
      <c r="F15">
        <v>60644.54</v>
      </c>
      <c r="G15">
        <v>70919.03</v>
      </c>
      <c r="H15">
        <v>67931.94</v>
      </c>
      <c r="I15">
        <v>75323.34</v>
      </c>
      <c r="J15">
        <v>78868.399999999994</v>
      </c>
      <c r="L15" s="86"/>
      <c r="M15" s="86"/>
      <c r="N15" s="86"/>
    </row>
    <row r="16" spans="2:14" ht="20.399999999999999" x14ac:dyDescent="0.25">
      <c r="B16" t="s">
        <v>96</v>
      </c>
      <c r="F16" s="37">
        <v>0.23117497962237188</v>
      </c>
      <c r="G16" s="37">
        <v>0.1694215175842706</v>
      </c>
      <c r="H16" s="37">
        <v>-4.2119724423754779E-2</v>
      </c>
      <c r="I16" s="37">
        <v>0.10880596078957838</v>
      </c>
      <c r="J16" s="37">
        <v>4.7064561927285808E-2</v>
      </c>
      <c r="L16" s="86"/>
      <c r="M16" s="86"/>
      <c r="N16" s="86"/>
    </row>
    <row r="17" spans="2:14" ht="20.399999999999999" x14ac:dyDescent="0.25">
      <c r="B17" t="s">
        <v>99</v>
      </c>
      <c r="F17" s="38">
        <v>0.20852129356487503</v>
      </c>
      <c r="G17" s="38">
        <v>0.24637894792987458</v>
      </c>
      <c r="H17" s="38">
        <v>-2.0102893450346215E-2</v>
      </c>
      <c r="I17" s="38">
        <v>2.5882649072775266E-2</v>
      </c>
      <c r="J17" s="38">
        <v>5.7217162129998833E-2</v>
      </c>
      <c r="L17" s="86"/>
      <c r="M17" s="86"/>
      <c r="N17" s="86"/>
    </row>
    <row r="18" spans="2:14" ht="20.399999999999999" x14ac:dyDescent="0.25">
      <c r="B18" t="s">
        <v>101</v>
      </c>
      <c r="F18" s="38">
        <f>'Profit &amp; Loss'!F37</f>
        <v>0.15815211238497429</v>
      </c>
      <c r="G18" s="38">
        <f>'Profit &amp; Loss'!G37</f>
        <v>0.25907551569083087</v>
      </c>
      <c r="H18" s="38">
        <f>'Profit &amp; Loss'!H37</f>
        <v>6.6024512731050811E-2</v>
      </c>
      <c r="I18" s="38">
        <f>'Profit &amp; Loss'!I37</f>
        <v>0.69837253247749853</v>
      </c>
      <c r="J18" s="38">
        <f>'Profit &amp; Loss'!J37</f>
        <v>-0.40456182369340554</v>
      </c>
      <c r="L18" s="86"/>
      <c r="M18" s="86"/>
      <c r="N18" s="86"/>
    </row>
    <row r="19" spans="2:14" x14ac:dyDescent="0.25">
      <c r="B19" t="s">
        <v>102</v>
      </c>
      <c r="F19" s="38">
        <f>'Balance Sheet'!G24</f>
        <v>0.24405605456807136</v>
      </c>
      <c r="G19" s="38">
        <f>'Balance Sheet'!H24</f>
        <v>0.2775155497933201</v>
      </c>
      <c r="H19" s="38">
        <f>'Balance Sheet'!I24</f>
        <v>0.27458869636409999</v>
      </c>
      <c r="I19" s="38">
        <f>'Balance Sheet'!J24</f>
        <v>0.49616743098141436</v>
      </c>
      <c r="J19" s="38">
        <f>'Balance Sheet'!K24</f>
        <v>0.28534326888465023</v>
      </c>
    </row>
    <row r="20" spans="2:14" x14ac:dyDescent="0.25">
      <c r="B20" t="s">
        <v>103</v>
      </c>
      <c r="F20" s="38">
        <f>'Balance Sheet'!G25</f>
        <v>0.33733252742915004</v>
      </c>
      <c r="G20" s="38">
        <f>'Balance Sheet'!H25</f>
        <v>0.39333609298769096</v>
      </c>
      <c r="H20" s="38">
        <f>'Balance Sheet'!I25</f>
        <v>0.3742927321936183</v>
      </c>
      <c r="I20" s="38">
        <f>'Balance Sheet'!J25</f>
        <v>0.57864605289976878</v>
      </c>
      <c r="J20" s="38">
        <f>'Balance Sheet'!K25</f>
        <v>0.38725211479473171</v>
      </c>
    </row>
    <row r="22" spans="2:14" x14ac:dyDescent="0.25">
      <c r="B22" s="33" t="s">
        <v>104</v>
      </c>
      <c r="C22" s="33"/>
      <c r="D22" s="33"/>
      <c r="E22" s="33"/>
      <c r="F22" s="53">
        <f t="shared" ref="F22:J22" si="0">F13</f>
        <v>44651</v>
      </c>
      <c r="G22" s="53">
        <f t="shared" si="0"/>
        <v>45016</v>
      </c>
      <c r="H22" s="53">
        <f t="shared" si="0"/>
        <v>45382</v>
      </c>
      <c r="I22" s="53">
        <f t="shared" si="0"/>
        <v>45747</v>
      </c>
      <c r="J22" s="53">
        <f t="shared" si="0"/>
        <v>46112</v>
      </c>
    </row>
    <row r="23" spans="2:14" x14ac:dyDescent="0.25">
      <c r="B23" t="s">
        <v>105</v>
      </c>
      <c r="F23" s="47">
        <f>Sheet2!L14</f>
        <v>0.11990000000000001</v>
      </c>
      <c r="G23" s="47">
        <f>Sheet2!M14</f>
        <v>0.4335</v>
      </c>
      <c r="H23" s="47">
        <f>Sheet2!N14</f>
        <v>0.40949999999999998</v>
      </c>
      <c r="I23" s="47">
        <f>Sheet2!O14</f>
        <v>0.3987</v>
      </c>
      <c r="J23" s="47">
        <f>Sheet2!P14</f>
        <v>0.3483</v>
      </c>
    </row>
    <row r="24" spans="2:14" x14ac:dyDescent="0.25">
      <c r="B24" t="s">
        <v>106</v>
      </c>
      <c r="F24" s="47">
        <f>Sheet2!L15</f>
        <v>0.42770000000000002</v>
      </c>
      <c r="G24" s="47">
        <f>Sheet2!M15</f>
        <v>0.42080000000000001</v>
      </c>
      <c r="H24" s="47">
        <f>Sheet2!N15</f>
        <v>0.43759999999999999</v>
      </c>
      <c r="I24" s="47">
        <f>Sheet2!O15</f>
        <v>0.45190000000000002</v>
      </c>
      <c r="J24" s="47">
        <f>Sheet2!P15</f>
        <v>0.49149999999999999</v>
      </c>
    </row>
    <row r="25" spans="2:14" x14ac:dyDescent="0.25">
      <c r="B25" t="s">
        <v>107</v>
      </c>
      <c r="F25" s="47">
        <f>Sheet2!L16</f>
        <v>0</v>
      </c>
      <c r="G25" s="47">
        <f>Sheet2!M16</f>
        <v>4.0000000000000002E-4</v>
      </c>
      <c r="H25" s="47">
        <f>Sheet2!N16</f>
        <v>4.0000000000000002E-4</v>
      </c>
      <c r="I25" s="47">
        <f>Sheet2!O16</f>
        <v>4.0000000000000002E-4</v>
      </c>
      <c r="J25" s="47">
        <f>Sheet2!P16</f>
        <v>4.0000000000000002E-4</v>
      </c>
    </row>
    <row r="26" spans="2:14" x14ac:dyDescent="0.25">
      <c r="B26" t="s">
        <v>108</v>
      </c>
      <c r="F26" s="47">
        <f>Sheet2!L17</f>
        <v>0.45240000000000002</v>
      </c>
      <c r="G26" s="47">
        <f>Sheet2!M17</f>
        <v>0.1452</v>
      </c>
      <c r="H26" s="47">
        <f>Sheet2!N17</f>
        <v>0.15229999999999999</v>
      </c>
      <c r="I26" s="47">
        <f>Sheet2!O17</f>
        <v>0.14899999999999999</v>
      </c>
      <c r="J26" s="47">
        <f>Sheet2!P17</f>
        <v>0.15959999999999999</v>
      </c>
    </row>
    <row r="28" spans="2:14" x14ac:dyDescent="0.25">
      <c r="B28" s="54" t="s">
        <v>128</v>
      </c>
      <c r="C28" s="54"/>
    </row>
    <row r="30" spans="2:14" ht="42" thickBot="1" x14ac:dyDescent="0.3">
      <c r="B30" s="82" t="s">
        <v>129</v>
      </c>
      <c r="C30" s="82" t="s">
        <v>130</v>
      </c>
      <c r="D30" s="83" t="s">
        <v>131</v>
      </c>
      <c r="E30" s="83" t="s">
        <v>132</v>
      </c>
      <c r="F30" s="83" t="s">
        <v>133</v>
      </c>
      <c r="G30" s="83" t="s">
        <v>134</v>
      </c>
      <c r="H30" s="83" t="s">
        <v>135</v>
      </c>
      <c r="I30" s="83" t="s">
        <v>136</v>
      </c>
      <c r="J30" s="83" t="s">
        <v>137</v>
      </c>
      <c r="K30" s="83" t="s">
        <v>138</v>
      </c>
      <c r="L30" s="83" t="s">
        <v>139</v>
      </c>
      <c r="M30" s="83" t="s">
        <v>140</v>
      </c>
      <c r="N30" s="83" t="s">
        <v>141</v>
      </c>
    </row>
    <row r="31" spans="2:14" ht="14.4" x14ac:dyDescent="0.25">
      <c r="B31" s="71">
        <v>1</v>
      </c>
      <c r="C31" s="72" t="s">
        <v>142</v>
      </c>
      <c r="D31" s="73">
        <v>2166.4</v>
      </c>
      <c r="E31" s="73">
        <v>33.44</v>
      </c>
      <c r="F31" s="73">
        <v>509015.41</v>
      </c>
      <c r="G31" s="73">
        <v>1.89</v>
      </c>
      <c r="H31" s="73">
        <v>2994</v>
      </c>
      <c r="I31" s="73">
        <v>8.6199999999999992</v>
      </c>
      <c r="J31" s="73">
        <v>16351</v>
      </c>
      <c r="K31" s="73">
        <v>28.42</v>
      </c>
      <c r="L31" s="73">
        <v>1478</v>
      </c>
      <c r="M31" s="73">
        <v>35.090000000000003</v>
      </c>
      <c r="N31" s="73">
        <v>64468</v>
      </c>
    </row>
    <row r="32" spans="2:14" ht="14.4" x14ac:dyDescent="0.25">
      <c r="B32" s="74">
        <v>2</v>
      </c>
      <c r="C32" s="75" t="s">
        <v>143</v>
      </c>
      <c r="D32" s="76">
        <v>290.10000000000002</v>
      </c>
      <c r="E32" s="76">
        <v>17.440000000000001</v>
      </c>
      <c r="F32" s="76">
        <v>363479.77</v>
      </c>
      <c r="G32" s="76">
        <v>4.96</v>
      </c>
      <c r="H32" s="76">
        <v>5469.74</v>
      </c>
      <c r="I32" s="76">
        <v>5.3</v>
      </c>
      <c r="J32" s="76">
        <v>17824.68</v>
      </c>
      <c r="K32" s="76">
        <v>38.93</v>
      </c>
      <c r="L32" s="76">
        <v>2399.06</v>
      </c>
      <c r="M32" s="76">
        <v>12.77</v>
      </c>
      <c r="N32" s="76">
        <v>78868.399999999994</v>
      </c>
    </row>
    <row r="33" spans="2:15" ht="14.4" x14ac:dyDescent="0.25">
      <c r="B33" s="71">
        <v>3</v>
      </c>
      <c r="C33" s="72" t="s">
        <v>144</v>
      </c>
      <c r="D33" s="73">
        <v>549.20000000000005</v>
      </c>
      <c r="E33" s="73">
        <v>43.67</v>
      </c>
      <c r="F33" s="73">
        <v>6654.22</v>
      </c>
      <c r="G33" s="73">
        <v>0</v>
      </c>
      <c r="H33" s="73">
        <v>41.55</v>
      </c>
      <c r="I33" s="73">
        <v>34.17</v>
      </c>
      <c r="J33" s="73">
        <v>1116.75</v>
      </c>
      <c r="K33" s="73">
        <v>14.2</v>
      </c>
      <c r="L33" s="73">
        <v>1088.26</v>
      </c>
      <c r="M33" s="73">
        <v>26.84</v>
      </c>
      <c r="N33" s="73">
        <v>4251.04</v>
      </c>
    </row>
    <row r="34" spans="2:15" ht="15" thickBot="1" x14ac:dyDescent="0.3">
      <c r="B34" s="77">
        <v>4</v>
      </c>
      <c r="C34" s="75" t="s">
        <v>145</v>
      </c>
      <c r="D34" s="78">
        <v>290.75</v>
      </c>
      <c r="E34" s="78">
        <v>44.24</v>
      </c>
      <c r="F34" s="78">
        <v>1487.95</v>
      </c>
      <c r="G34" s="78">
        <v>0</v>
      </c>
      <c r="H34" s="78">
        <v>52.88</v>
      </c>
      <c r="I34" s="78">
        <v>-30.03</v>
      </c>
      <c r="J34" s="78">
        <v>564.1</v>
      </c>
      <c r="K34" s="78">
        <v>6.55</v>
      </c>
      <c r="L34" s="78">
        <v>530.76</v>
      </c>
      <c r="M34" s="78">
        <v>23.42</v>
      </c>
      <c r="N34" s="78">
        <v>1987.94</v>
      </c>
    </row>
    <row r="35" spans="2:15" ht="15" thickBot="1" x14ac:dyDescent="0.3">
      <c r="B35" s="79">
        <v>5</v>
      </c>
      <c r="C35" s="80" t="s">
        <v>146</v>
      </c>
      <c r="D35" s="81">
        <v>3.59</v>
      </c>
      <c r="E35" s="81">
        <v>60.31</v>
      </c>
      <c r="F35" s="81">
        <v>513.37</v>
      </c>
      <c r="G35" s="81">
        <v>0</v>
      </c>
      <c r="H35" s="81">
        <v>1.95</v>
      </c>
      <c r="I35" s="81">
        <v>0.52</v>
      </c>
      <c r="J35" s="81">
        <v>83.82</v>
      </c>
      <c r="K35" s="81">
        <v>5.56</v>
      </c>
      <c r="L35" s="81">
        <v>250.05</v>
      </c>
      <c r="M35" s="81">
        <v>19.79</v>
      </c>
      <c r="N35" s="81">
        <v>238.77</v>
      </c>
    </row>
    <row r="36" spans="2:15" x14ac:dyDescent="0.25">
      <c r="L36" s="33" t="s">
        <v>152</v>
      </c>
      <c r="M36" s="33"/>
      <c r="N36" s="33"/>
    </row>
    <row r="37" spans="2:15" x14ac:dyDescent="0.25">
      <c r="L37" s="33"/>
      <c r="M37" s="33"/>
      <c r="N37" s="33" t="s">
        <v>155</v>
      </c>
    </row>
    <row r="38" spans="2:15" ht="20.399999999999999" x14ac:dyDescent="0.25">
      <c r="B38" s="34" t="s">
        <v>147</v>
      </c>
      <c r="C38" s="34"/>
      <c r="L38" s="87"/>
      <c r="M38" s="88" t="s">
        <v>153</v>
      </c>
      <c r="N38" s="88"/>
      <c r="O38" s="86"/>
    </row>
    <row r="39" spans="2:15" ht="20.399999999999999" x14ac:dyDescent="0.25">
      <c r="L39" s="87"/>
      <c r="M39" s="89" t="s">
        <v>157</v>
      </c>
      <c r="N39" s="90">
        <v>2399</v>
      </c>
      <c r="O39" s="86"/>
    </row>
    <row r="40" spans="2:15" ht="20.399999999999999" x14ac:dyDescent="0.25">
      <c r="B40" t="s">
        <v>148</v>
      </c>
      <c r="L40" s="87"/>
      <c r="M40" s="88" t="s">
        <v>154</v>
      </c>
      <c r="N40" s="88"/>
      <c r="O40" s="86"/>
    </row>
    <row r="41" spans="2:15" ht="20.399999999999999" x14ac:dyDescent="0.25">
      <c r="B41" t="s">
        <v>149</v>
      </c>
      <c r="L41" s="87" t="s">
        <v>158</v>
      </c>
      <c r="M41" s="91"/>
      <c r="N41" s="91">
        <v>335477</v>
      </c>
      <c r="O41" s="86"/>
    </row>
    <row r="42" spans="2:15" x14ac:dyDescent="0.25">
      <c r="B42" t="s">
        <v>150</v>
      </c>
    </row>
    <row r="43" spans="2:15" x14ac:dyDescent="0.25">
      <c r="B43" t="s">
        <v>156</v>
      </c>
      <c r="I43" t="s">
        <v>151</v>
      </c>
    </row>
  </sheetData>
  <hyperlinks>
    <hyperlink ref="C31" r:id="rId1" display="https://www.screener.in/company/HINDUNILVR/consolidated/"/>
    <hyperlink ref="C32" r:id="rId2" display="https://www.screener.in/company/ITC/consolidated/"/>
    <hyperlink ref="C33" r:id="rId3" display="https://www.screener.in/company/HNDFDS/consolidated/"/>
    <hyperlink ref="C34" r:id="rId4" display="https://www.screener.in/company/GODAVARIB/consolidated/"/>
    <hyperlink ref="C35" r:id="rId5" display="https://www.screener.in/company/DAVANGERE/"/>
  </hyperlinks>
  <pageMargins left="0.5" right="0.5" top="0.75" bottom="0.01" header="0.3" footer="0.1"/>
  <pageSetup paperSize="12"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37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F37" sqref="F37:J37"/>
    </sheetView>
  </sheetViews>
  <sheetFormatPr defaultColWidth="8.69921875" defaultRowHeight="14.4" x14ac:dyDescent="0.25"/>
  <cols>
    <col min="1" max="1" width="20.59765625" style="6" customWidth="1"/>
    <col min="2" max="6" width="13.3984375" style="6" customWidth="1"/>
    <col min="7" max="7" width="14.69921875" style="6" customWidth="1"/>
    <col min="8" max="11" width="13.3984375" style="6" customWidth="1"/>
    <col min="12" max="12" width="13.296875" style="6" customWidth="1"/>
    <col min="13" max="14" width="12" style="6" customWidth="1"/>
    <col min="15" max="16384" width="8.69921875" style="6"/>
  </cols>
  <sheetData>
    <row r="1" spans="1:14" s="8" customFormat="1" ht="13.8" x14ac:dyDescent="0.25">
      <c r="A1" s="8" t="str">
        <f>'Data Sheet'!B1</f>
        <v>ITC LTD</v>
      </c>
      <c r="H1" t="str">
        <f>UPDATE</f>
        <v/>
      </c>
      <c r="J1" s="3"/>
      <c r="K1" s="3"/>
      <c r="M1" s="8" t="s">
        <v>1</v>
      </c>
    </row>
    <row r="3" spans="1:14" s="2" customFormat="1" ht="13.8" x14ac:dyDescent="0.25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ht="13.8" x14ac:dyDescent="0.25">
      <c r="A4" s="8" t="s">
        <v>6</v>
      </c>
      <c r="B4" s="1">
        <f>'Data Sheet'!B17</f>
        <v>42767.6</v>
      </c>
      <c r="C4" s="1">
        <f>'Data Sheet'!C17</f>
        <v>43448.94</v>
      </c>
      <c r="D4" s="1">
        <f>'Data Sheet'!D17</f>
        <v>48339.58</v>
      </c>
      <c r="E4" s="1">
        <f>'Data Sheet'!E17</f>
        <v>49387.7</v>
      </c>
      <c r="F4" s="1">
        <f>'Data Sheet'!F17</f>
        <v>49257.45</v>
      </c>
      <c r="G4" s="1">
        <f>'Data Sheet'!G17</f>
        <v>60644.54</v>
      </c>
      <c r="H4" s="1">
        <f>'Data Sheet'!H17</f>
        <v>70919.03</v>
      </c>
      <c r="I4" s="1">
        <f>'Data Sheet'!I17</f>
        <v>67931.94</v>
      </c>
      <c r="J4" s="1">
        <f>'Data Sheet'!J17</f>
        <v>75323.34</v>
      </c>
      <c r="K4" s="1">
        <f>'Data Sheet'!K17</f>
        <v>78868.399999999994</v>
      </c>
      <c r="L4" s="1">
        <f>SUM(Quarters!H4:K4)</f>
        <v>78868.399999999994</v>
      </c>
      <c r="M4" s="1">
        <f>$K4+M23*K4</f>
        <v>82580.306695905936</v>
      </c>
      <c r="N4" s="1">
        <f>$K4+N23*L4</f>
        <v>81711.486555577809</v>
      </c>
    </row>
    <row r="5" spans="1:14" ht="13.8" x14ac:dyDescent="0.25">
      <c r="A5" s="6" t="s">
        <v>7</v>
      </c>
      <c r="B5" s="9">
        <f>SUM('Data Sheet'!B18,'Data Sheet'!B20:B24, -1*'Data Sheet'!B19)</f>
        <v>27298.09</v>
      </c>
      <c r="C5" s="9">
        <f>SUM('Data Sheet'!C18,'Data Sheet'!C20:C24, -1*'Data Sheet'!C19)</f>
        <v>26928.35</v>
      </c>
      <c r="D5" s="9">
        <f>SUM('Data Sheet'!D18,'Data Sheet'!D20:D24, -1*'Data Sheet'!D19)</f>
        <v>29802.19</v>
      </c>
      <c r="E5" s="9">
        <f>SUM('Data Sheet'!E18,'Data Sheet'!E20:E24, -1*'Data Sheet'!E19)</f>
        <v>30044.16</v>
      </c>
      <c r="F5" s="9">
        <f>SUM('Data Sheet'!F18,'Data Sheet'!F20:F24, -1*'Data Sheet'!F19)</f>
        <v>32192.670000000002</v>
      </c>
      <c r="G5" s="9">
        <f>SUM('Data Sheet'!G18,'Data Sheet'!G20:G24, -1*'Data Sheet'!G19)</f>
        <v>40021.39</v>
      </c>
      <c r="H5" s="9">
        <f>SUM('Data Sheet'!H18,'Data Sheet'!H20:H24, -1*'Data Sheet'!H19)</f>
        <v>45214.770000000004</v>
      </c>
      <c r="I5" s="9">
        <f>SUM('Data Sheet'!I18,'Data Sheet'!I20:I24, -1*'Data Sheet'!I19)</f>
        <v>42744.41</v>
      </c>
      <c r="J5" s="9">
        <f>SUM('Data Sheet'!J18,'Data Sheet'!J20:J24, -1*'Data Sheet'!J19)</f>
        <v>49483.89</v>
      </c>
      <c r="K5" s="9">
        <f>SUM('Data Sheet'!K18,'Data Sheet'!K20:K24, -1*'Data Sheet'!K19)</f>
        <v>51550.49</v>
      </c>
      <c r="L5" s="9">
        <f>SUM(Quarters!H5:K5)</f>
        <v>51550.490000000005</v>
      </c>
      <c r="M5" s="9">
        <f t="shared" ref="M5:N5" si="0">M4-M6</f>
        <v>53453.538022448818</v>
      </c>
      <c r="N5" s="9">
        <f t="shared" si="0"/>
        <v>53408.80721009236</v>
      </c>
    </row>
    <row r="6" spans="1:14" s="8" customFormat="1" ht="13.8" x14ac:dyDescent="0.25">
      <c r="A6" s="8" t="s">
        <v>8</v>
      </c>
      <c r="B6" s="1">
        <f>B4-B5</f>
        <v>15469.509999999998</v>
      </c>
      <c r="C6" s="1">
        <f t="shared" ref="C6:K6" si="1">C4-C5</f>
        <v>16520.590000000004</v>
      </c>
      <c r="D6" s="1">
        <f t="shared" si="1"/>
        <v>18537.390000000003</v>
      </c>
      <c r="E6" s="1">
        <f t="shared" si="1"/>
        <v>19343.539999999997</v>
      </c>
      <c r="F6" s="1">
        <f t="shared" si="1"/>
        <v>17064.779999999995</v>
      </c>
      <c r="G6" s="1">
        <f t="shared" si="1"/>
        <v>20623.150000000001</v>
      </c>
      <c r="H6" s="1">
        <f t="shared" si="1"/>
        <v>25704.259999999995</v>
      </c>
      <c r="I6" s="1">
        <f t="shared" si="1"/>
        <v>25187.53</v>
      </c>
      <c r="J6" s="1">
        <f t="shared" si="1"/>
        <v>25839.449999999997</v>
      </c>
      <c r="K6" s="1">
        <f t="shared" si="1"/>
        <v>27317.909999999996</v>
      </c>
      <c r="L6" s="1">
        <f>SUM(Quarters!H6:K6)</f>
        <v>27317.91</v>
      </c>
      <c r="M6" s="1">
        <f>M4*M24</f>
        <v>29126.768673457118</v>
      </c>
      <c r="N6" s="1">
        <f>N4*N24</f>
        <v>28302.679345485449</v>
      </c>
    </row>
    <row r="7" spans="1:14" ht="13.8" x14ac:dyDescent="0.25">
      <c r="A7" s="6" t="s">
        <v>9</v>
      </c>
      <c r="B7" s="9">
        <f>'Data Sheet'!B25</f>
        <v>1758.63</v>
      </c>
      <c r="C7" s="9">
        <f>'Data Sheet'!C25</f>
        <v>2239.81</v>
      </c>
      <c r="D7" s="9">
        <f>'Data Sheet'!D25</f>
        <v>2080.44</v>
      </c>
      <c r="E7" s="9">
        <f>'Data Sheet'!E25</f>
        <v>2417.3200000000002</v>
      </c>
      <c r="F7" s="9">
        <f>'Data Sheet'!F25</f>
        <v>2576.9499999999998</v>
      </c>
      <c r="G7" s="9">
        <f>'Data Sheet'!G25</f>
        <v>1909.72</v>
      </c>
      <c r="H7" s="9">
        <f>'Data Sheet'!H25</f>
        <v>2097.64</v>
      </c>
      <c r="I7" s="9">
        <f>'Data Sheet'!I25</f>
        <v>3330.45</v>
      </c>
      <c r="J7" s="9">
        <f>'Data Sheet'!J25</f>
        <v>17794.88</v>
      </c>
      <c r="K7" s="9">
        <f>'Data Sheet'!K25</f>
        <v>2511.1799999999998</v>
      </c>
      <c r="L7" s="9">
        <f>SUM(Quarters!H7:K7)</f>
        <v>2511.1799999999998</v>
      </c>
      <c r="M7" s="9">
        <v>0</v>
      </c>
      <c r="N7" s="9">
        <v>0</v>
      </c>
    </row>
    <row r="8" spans="1:14" ht="13.8" x14ac:dyDescent="0.25">
      <c r="A8" s="6" t="s">
        <v>10</v>
      </c>
      <c r="B8" s="9">
        <f>'Data Sheet'!B26</f>
        <v>1152.79</v>
      </c>
      <c r="C8" s="9">
        <f>'Data Sheet'!C26</f>
        <v>1236.28</v>
      </c>
      <c r="D8" s="9">
        <f>'Data Sheet'!D26</f>
        <v>1396.61</v>
      </c>
      <c r="E8" s="9">
        <f>'Data Sheet'!E26</f>
        <v>1644.91</v>
      </c>
      <c r="F8" s="9">
        <f>'Data Sheet'!F26</f>
        <v>1645.59</v>
      </c>
      <c r="G8" s="9">
        <f>'Data Sheet'!G26</f>
        <v>1732.41</v>
      </c>
      <c r="H8" s="9">
        <f>'Data Sheet'!H26</f>
        <v>1809.01</v>
      </c>
      <c r="I8" s="9">
        <f>'Data Sheet'!I26</f>
        <v>1518.05</v>
      </c>
      <c r="J8" s="9">
        <f>'Data Sheet'!J26</f>
        <v>1646.32</v>
      </c>
      <c r="K8" s="9">
        <f>'Data Sheet'!K26</f>
        <v>1710.53</v>
      </c>
      <c r="L8" s="9">
        <f>SUM(Quarters!H8:K8)</f>
        <v>1710.53</v>
      </c>
      <c r="M8" s="9">
        <f>+$L8</f>
        <v>1710.53</v>
      </c>
      <c r="N8" s="9">
        <f>+$L8</f>
        <v>1710.53</v>
      </c>
    </row>
    <row r="9" spans="1:14" ht="13.8" x14ac:dyDescent="0.25">
      <c r="A9" s="6" t="s">
        <v>11</v>
      </c>
      <c r="B9" s="9">
        <f>'Data Sheet'!B27</f>
        <v>49.03</v>
      </c>
      <c r="C9" s="9">
        <f>'Data Sheet'!C27</f>
        <v>115.01</v>
      </c>
      <c r="D9" s="9">
        <f>'Data Sheet'!D27</f>
        <v>71.400000000000006</v>
      </c>
      <c r="E9" s="9">
        <f>'Data Sheet'!E27</f>
        <v>81.38</v>
      </c>
      <c r="F9" s="9">
        <f>'Data Sheet'!F27</f>
        <v>57.97</v>
      </c>
      <c r="G9" s="9">
        <f>'Data Sheet'!G27</f>
        <v>59.99</v>
      </c>
      <c r="H9" s="9">
        <f>'Data Sheet'!H27</f>
        <v>77.77</v>
      </c>
      <c r="I9" s="9">
        <f>'Data Sheet'!I27</f>
        <v>39.11</v>
      </c>
      <c r="J9" s="9">
        <f>'Data Sheet'!J27</f>
        <v>45.06</v>
      </c>
      <c r="K9" s="9">
        <f>'Data Sheet'!K27</f>
        <v>85.17</v>
      </c>
      <c r="L9" s="9">
        <f>SUM(Quarters!H9:K9)</f>
        <v>85.169999999999987</v>
      </c>
      <c r="M9" s="9">
        <f>+$L9</f>
        <v>85.169999999999987</v>
      </c>
      <c r="N9" s="9">
        <f>+$L9</f>
        <v>85.169999999999987</v>
      </c>
    </row>
    <row r="10" spans="1:14" ht="13.8" x14ac:dyDescent="0.25">
      <c r="A10" s="6" t="s">
        <v>12</v>
      </c>
      <c r="B10" s="9">
        <f>'Data Sheet'!B28</f>
        <v>16026.32</v>
      </c>
      <c r="C10" s="9">
        <f>'Data Sheet'!C28</f>
        <v>17409.11</v>
      </c>
      <c r="D10" s="9">
        <f>'Data Sheet'!D28</f>
        <v>19149.82</v>
      </c>
      <c r="E10" s="9">
        <f>'Data Sheet'!E28</f>
        <v>20034.57</v>
      </c>
      <c r="F10" s="9">
        <f>'Data Sheet'!F28</f>
        <v>17938.169999999998</v>
      </c>
      <c r="G10" s="9">
        <f>'Data Sheet'!G28</f>
        <v>20740.47</v>
      </c>
      <c r="H10" s="9">
        <f>'Data Sheet'!H28</f>
        <v>25915.119999999999</v>
      </c>
      <c r="I10" s="9">
        <f>'Data Sheet'!I28</f>
        <v>26960.82</v>
      </c>
      <c r="J10" s="9">
        <f>'Data Sheet'!J28</f>
        <v>41942.949999999997</v>
      </c>
      <c r="K10" s="9">
        <f>'Data Sheet'!K28</f>
        <v>28033.39</v>
      </c>
      <c r="L10" s="9">
        <f>SUM(Quarters!H10:K10)</f>
        <v>28033.39</v>
      </c>
      <c r="M10" s="9">
        <f>M6+M7-SUM(M8:M9)</f>
        <v>27331.068673457117</v>
      </c>
      <c r="N10" s="9">
        <f>N6+N7-SUM(N8:N9)</f>
        <v>26506.979345485448</v>
      </c>
    </row>
    <row r="11" spans="1:14" ht="13.8" x14ac:dyDescent="0.25">
      <c r="A11" s="6" t="s">
        <v>13</v>
      </c>
      <c r="B11" s="9">
        <f>'Data Sheet'!B29</f>
        <v>5549.09</v>
      </c>
      <c r="C11" s="9">
        <f>'Data Sheet'!C29</f>
        <v>5916.43</v>
      </c>
      <c r="D11" s="9">
        <f>'Data Sheet'!D29</f>
        <v>6313.92</v>
      </c>
      <c r="E11" s="9">
        <f>'Data Sheet'!E29</f>
        <v>4441.79</v>
      </c>
      <c r="F11" s="9">
        <f>'Data Sheet'!F29</f>
        <v>4555.29</v>
      </c>
      <c r="G11" s="9">
        <f>'Data Sheet'!G29</f>
        <v>5237.34</v>
      </c>
      <c r="H11" s="9">
        <f>'Data Sheet'!H29</f>
        <v>6438.4</v>
      </c>
      <c r="I11" s="9">
        <f>'Data Sheet'!I29</f>
        <v>6209.46</v>
      </c>
      <c r="J11" s="9">
        <f>'Data Sheet'!J29</f>
        <v>6890.47</v>
      </c>
      <c r="K11" s="9">
        <f>'Data Sheet'!K29</f>
        <v>7015.24</v>
      </c>
      <c r="L11" s="9">
        <f>SUM(Quarters!H11:K11)</f>
        <v>7015.2400000000007</v>
      </c>
      <c r="M11" s="10">
        <f>IF($L10&gt;0,$L11/$L10,0)</f>
        <v>0.2502458675172714</v>
      </c>
      <c r="N11" s="10">
        <f>IF($L10&gt;0,$L11/$L10,0)</f>
        <v>0.2502458675172714</v>
      </c>
    </row>
    <row r="12" spans="1:14" s="8" customFormat="1" ht="13.8" x14ac:dyDescent="0.25">
      <c r="A12" s="8" t="s">
        <v>14</v>
      </c>
      <c r="B12" s="1">
        <f>'Data Sheet'!B30</f>
        <v>10289.44</v>
      </c>
      <c r="C12" s="1">
        <f>'Data Sheet'!C30</f>
        <v>11271.2</v>
      </c>
      <c r="D12" s="1">
        <f>'Data Sheet'!D30</f>
        <v>12592.33</v>
      </c>
      <c r="E12" s="1">
        <f>'Data Sheet'!E30</f>
        <v>15306.23</v>
      </c>
      <c r="F12" s="1">
        <f>'Data Sheet'!F30</f>
        <v>13161.19</v>
      </c>
      <c r="G12" s="1">
        <f>'Data Sheet'!G30</f>
        <v>15242.66</v>
      </c>
      <c r="H12" s="1">
        <f>'Data Sheet'!H30</f>
        <v>19191.66</v>
      </c>
      <c r="I12" s="1">
        <f>'Data Sheet'!I30</f>
        <v>20458.78</v>
      </c>
      <c r="J12" s="1">
        <f>'Data Sheet'!J30</f>
        <v>34746.629999999997</v>
      </c>
      <c r="K12" s="1">
        <f>'Data Sheet'!K30</f>
        <v>20689.47</v>
      </c>
      <c r="L12" s="1">
        <f>SUM(Quarters!H12:K12)</f>
        <v>20689.47</v>
      </c>
      <c r="M12" s="1">
        <f>M10-M11*M10</f>
        <v>20491.581683093722</v>
      </c>
      <c r="N12" s="1">
        <f>N10-N11*N10</f>
        <v>19873.717303912046</v>
      </c>
    </row>
    <row r="13" spans="1:14" ht="13.8" x14ac:dyDescent="0.25">
      <c r="A13" s="11" t="s">
        <v>57</v>
      </c>
      <c r="B13" s="9">
        <f>IF('Data Sheet'!B93&gt;0,B12/'Data Sheet'!B93,0)</f>
        <v>8.4704875117309051</v>
      </c>
      <c r="C13" s="9">
        <f>IF('Data Sheet'!C93&gt;0,C12/'Data Sheet'!C93,0)</f>
        <v>9.2354334128135172</v>
      </c>
      <c r="D13" s="9">
        <f>IF('Data Sheet'!D93&gt;0,D12/'Data Sheet'!D93,0)</f>
        <v>10.272241528396393</v>
      </c>
      <c r="E13" s="9">
        <f>IF('Data Sheet'!E93&gt;0,E12/'Data Sheet'!E93,0)</f>
        <v>12.451985812141032</v>
      </c>
      <c r="F13" s="9">
        <f>IF('Data Sheet'!F93&gt;0,F12/'Data Sheet'!F93,0)</f>
        <v>10.692504549590536</v>
      </c>
      <c r="G13" s="9">
        <f>IF('Data Sheet'!G93&gt;0,G12/'Data Sheet'!G93,0)</f>
        <v>12.368975842509718</v>
      </c>
      <c r="H13" s="9">
        <f>IF('Data Sheet'!H93&gt;0,H12/'Data Sheet'!H93,0)</f>
        <v>15.442275506919859</v>
      </c>
      <c r="I13" s="9">
        <f>IF('Data Sheet'!I93&gt;0,I12/'Data Sheet'!I93,0)</f>
        <v>16.387081788108645</v>
      </c>
      <c r="J13" s="9">
        <f>IF('Data Sheet'!J93&gt;0,J12/'Data Sheet'!J93,0)</f>
        <v>27.765983970081745</v>
      </c>
      <c r="K13" s="9">
        <f>IF('Data Sheet'!K93&gt;0,K12/'Data Sheet'!K93,0)</f>
        <v>16.512606249251768</v>
      </c>
      <c r="L13" s="9">
        <f>IF('Data Sheet'!$B6&gt;0,'Profit &amp; Loss'!L12/'Data Sheet'!$B6,0)</f>
        <v>16.512651082759032</v>
      </c>
      <c r="M13" s="9">
        <f>IF('Data Sheet'!$B6&gt;0,'Profit &amp; Loss'!M12/'Data Sheet'!$B6,0)</f>
        <v>16.354712733906798</v>
      </c>
      <c r="N13" s="9">
        <f>IF('Data Sheet'!$B6&gt;0,'Profit &amp; Loss'!N12/'Data Sheet'!$B6,0)</f>
        <v>15.861583673090232</v>
      </c>
    </row>
    <row r="14" spans="1:14" ht="13.8" x14ac:dyDescent="0.25">
      <c r="A14" s="6" t="s">
        <v>16</v>
      </c>
      <c r="B14" s="9">
        <f>IF(B15&gt;0,B15/B13,"")</f>
        <v>31.019466073955435</v>
      </c>
      <c r="C14" s="9">
        <f t="shared" ref="C14:K14" si="2">IF(C15&gt;0,C15/C13,"")</f>
        <v>25.932729877918941</v>
      </c>
      <c r="D14" s="9">
        <f t="shared" si="2"/>
        <v>27.125530414148926</v>
      </c>
      <c r="E14" s="9">
        <f t="shared" si="2"/>
        <v>12.925649163771876</v>
      </c>
      <c r="F14" s="9">
        <f t="shared" si="2"/>
        <v>19.155474664525016</v>
      </c>
      <c r="G14" s="9">
        <f t="shared" si="2"/>
        <v>18.995913889045614</v>
      </c>
      <c r="H14" s="9">
        <f t="shared" si="2"/>
        <v>23.279600201337455</v>
      </c>
      <c r="I14" s="9">
        <f t="shared" si="2"/>
        <v>24.502837368601647</v>
      </c>
      <c r="J14" s="9">
        <f t="shared" si="2"/>
        <v>14.757265596692401</v>
      </c>
      <c r="K14" s="9">
        <f t="shared" si="2"/>
        <v>17.423052161316843</v>
      </c>
      <c r="L14" s="9">
        <f t="shared" ref="L14" si="3">IF(L13&gt;0,L15/L13,0)</f>
        <v>17.668271347695228</v>
      </c>
      <c r="M14" s="9">
        <f>M25</f>
        <v>18.587856618576527</v>
      </c>
      <c r="N14" s="9">
        <f>N25</f>
        <v>17.668271347695228</v>
      </c>
    </row>
    <row r="15" spans="1:14" s="8" customFormat="1" ht="13.8" x14ac:dyDescent="0.25">
      <c r="A15" s="8" t="s">
        <v>58</v>
      </c>
      <c r="B15" s="1">
        <f>'Data Sheet'!B90</f>
        <v>262.75</v>
      </c>
      <c r="C15" s="1">
        <f>'Data Sheet'!C90</f>
        <v>239.5</v>
      </c>
      <c r="D15" s="1">
        <f>'Data Sheet'!D90</f>
        <v>278.64</v>
      </c>
      <c r="E15" s="1">
        <f>'Data Sheet'!E90</f>
        <v>160.94999999999999</v>
      </c>
      <c r="F15" s="1">
        <f>'Data Sheet'!F90</f>
        <v>204.82</v>
      </c>
      <c r="G15" s="1">
        <f>'Data Sheet'!G90</f>
        <v>234.96</v>
      </c>
      <c r="H15" s="1">
        <f>'Data Sheet'!H90</f>
        <v>359.49</v>
      </c>
      <c r="I15" s="1">
        <f>'Data Sheet'!I90</f>
        <v>401.53</v>
      </c>
      <c r="J15" s="1">
        <f>'Data Sheet'!J90</f>
        <v>409.75</v>
      </c>
      <c r="K15" s="1">
        <f>'Data Sheet'!K90</f>
        <v>287.7</v>
      </c>
      <c r="L15" s="1">
        <f>'Data Sheet'!B8</f>
        <v>291.75</v>
      </c>
      <c r="M15" s="12">
        <f>M13*M14</f>
        <v>303.9990553358673</v>
      </c>
      <c r="N15" s="13">
        <f>N13*N14</f>
        <v>280.24676434033057</v>
      </c>
    </row>
    <row r="17" spans="1:14" s="8" customFormat="1" ht="13.8" x14ac:dyDescent="0.25">
      <c r="A17" s="8" t="s">
        <v>15</v>
      </c>
    </row>
    <row r="18" spans="1:14" ht="13.8" x14ac:dyDescent="0.25">
      <c r="A18" s="6" t="s">
        <v>17</v>
      </c>
      <c r="B18" s="7">
        <f>IF('Data Sheet'!B30&gt;0, 'Data Sheet'!B31/'Data Sheet'!B30, 0)</f>
        <v>0.56077104293333746</v>
      </c>
      <c r="C18" s="7">
        <f>IF('Data Sheet'!C30&gt;0, 'Data Sheet'!C31/'Data Sheet'!C30, 0)</f>
        <v>0.55763450209383203</v>
      </c>
      <c r="D18" s="7">
        <f>IF('Data Sheet'!D30&gt;0, 'Data Sheet'!D31/'Data Sheet'!D30, 0)</f>
        <v>0.55976137855345276</v>
      </c>
      <c r="E18" s="7">
        <f>IF('Data Sheet'!E30&gt;0, 'Data Sheet'!E31/'Data Sheet'!E30, 0)</f>
        <v>0.8151308323473514</v>
      </c>
      <c r="F18" s="7">
        <f>IF('Data Sheet'!F30&gt;0, 'Data Sheet'!F31/'Data Sheet'!F30, 0)</f>
        <v>1.0053771733407084</v>
      </c>
      <c r="G18" s="7">
        <f>IF('Data Sheet'!G30&gt;0, 'Data Sheet'!G31/'Data Sheet'!G30, 0)</f>
        <v>0.92974585800641096</v>
      </c>
      <c r="H18" s="7">
        <f>IF('Data Sheet'!H30&gt;0, 'Data Sheet'!H31/'Data Sheet'!H30, 0)</f>
        <v>1.0037380820627295</v>
      </c>
      <c r="I18" s="7">
        <f>IF('Data Sheet'!I30&gt;0, 'Data Sheet'!I31/'Data Sheet'!I30, 0)</f>
        <v>0.83907544829163816</v>
      </c>
      <c r="J18" s="7">
        <f>IF('Data Sheet'!J30&gt;0, 'Data Sheet'!J31/'Data Sheet'!J30, 0)</f>
        <v>0.51681932895362803</v>
      </c>
      <c r="K18" s="7">
        <f>IF('Data Sheet'!K30&gt;0, 'Data Sheet'!K31/'Data Sheet'!K30, 0)</f>
        <v>0.87811722581583762</v>
      </c>
    </row>
    <row r="19" spans="1:14" ht="13.8" x14ac:dyDescent="0.25">
      <c r="A19" s="6" t="s">
        <v>18</v>
      </c>
      <c r="B19" s="7">
        <f t="shared" ref="B19:L19" si="4">IF(B6&gt;0,B6/B4,0)</f>
        <v>0.36171096811605047</v>
      </c>
      <c r="C19" s="7">
        <f t="shared" ref="C19:K19" si="5">IF(C6&gt;0,C6/C4,0)</f>
        <v>0.38022998950031928</v>
      </c>
      <c r="D19" s="7">
        <f t="shared" si="5"/>
        <v>0.38348264507056129</v>
      </c>
      <c r="E19" s="7">
        <f t="shared" si="5"/>
        <v>0.39166715599228147</v>
      </c>
      <c r="F19" s="7">
        <f t="shared" si="5"/>
        <v>0.34644058919006154</v>
      </c>
      <c r="G19" s="7">
        <f t="shared" si="5"/>
        <v>0.3400660636555245</v>
      </c>
      <c r="H19" s="7">
        <f t="shared" si="5"/>
        <v>0.36244517162741785</v>
      </c>
      <c r="I19" s="7">
        <f t="shared" si="5"/>
        <v>0.37077595605248426</v>
      </c>
      <c r="J19" s="7">
        <f t="shared" si="5"/>
        <v>0.34304705553418102</v>
      </c>
      <c r="K19" s="7">
        <f t="shared" si="5"/>
        <v>0.34637332569191209</v>
      </c>
      <c r="L19" s="7">
        <f t="shared" si="4"/>
        <v>0.34637332569191209</v>
      </c>
    </row>
    <row r="20" spans="1:14" ht="13.8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ht="13.8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ht="13.8" x14ac:dyDescent="0.25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ht="13.8" x14ac:dyDescent="0.25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7.0365288747297194E-2</v>
      </c>
      <c r="I23" s="7">
        <f>IF(D4=0,"",POWER($K4/D4,1/7)-1)</f>
        <v>7.2436165341621228E-2</v>
      </c>
      <c r="J23" s="7">
        <f>IF(F4=0,"",POWER($K4/F4,1/5)-1)</f>
        <v>9.8717953304504169E-2</v>
      </c>
      <c r="K23" s="7">
        <f>IF(H4=0,"",POWER($K4/H4, 1/3)-1)</f>
        <v>3.6048487804720475E-2</v>
      </c>
      <c r="L23" s="7">
        <f>IF(ISERROR(MAX(IF(J4=0,"",(K4-J4)/J4),IF(K4=0,"",(L4-K4)/K4))),"",MAX(IF(J4=0,"",(K4-J4)/J4),IF(K4=0,"",(L4-K4)/K4)))</f>
        <v>4.7064561927285725E-2</v>
      </c>
      <c r="M23" s="22">
        <f>MAX(K23:L23)</f>
        <v>4.7064561927285725E-2</v>
      </c>
      <c r="N23" s="22">
        <f>MIN(H23:L23)</f>
        <v>3.6048487804720475E-2</v>
      </c>
    </row>
    <row r="24" spans="1:14" ht="13.8" x14ac:dyDescent="0.25">
      <c r="G24" s="6" t="s">
        <v>18</v>
      </c>
      <c r="H24" s="7">
        <f>IF(SUM(B4:$K$4)=0,"",SUMPRODUCT(B19:$K$19,B4:$K$4)/SUM(B4:$K$4))</f>
        <v>0.36055929327089231</v>
      </c>
      <c r="I24" s="7">
        <f>IF(SUM(E4:$K$4)=0,"",SUMPRODUCT(E19:$K$19,E4:$K$4)/SUM(E4:$K$4))</f>
        <v>0.3561111695735259</v>
      </c>
      <c r="J24" s="7">
        <f>IF(SUM(G4:$K$4)=0,"",SUMPRODUCT(G19:$K$19,G4:$K$4)/SUM(G4:$K$4))</f>
        <v>0.35249305707231454</v>
      </c>
      <c r="K24" s="7">
        <f>IF(SUM(I4:$K$4)=0, "", SUMPRODUCT(I19:$K$19,I4:$K$4)/SUM(I4:$K$4))</f>
        <v>0.35270841001733805</v>
      </c>
      <c r="L24" s="7">
        <f>L19</f>
        <v>0.34637332569191209</v>
      </c>
      <c r="M24" s="22">
        <f>MAX(K24:L24)</f>
        <v>0.35270841001733805</v>
      </c>
      <c r="N24" s="22">
        <f>MIN(H24:L24)</f>
        <v>0.34637332569191209</v>
      </c>
    </row>
    <row r="25" spans="1:14" ht="13.8" x14ac:dyDescent="0.25">
      <c r="G25" s="6" t="s">
        <v>23</v>
      </c>
      <c r="H25" s="9">
        <f>IF(ISERROR(AVERAGEIF(B14:$L14,"&gt;0")),"",AVERAGEIF(B14:$L14,"&gt;0"))</f>
        <v>21.162344614455396</v>
      </c>
      <c r="I25" s="9">
        <f>IF(ISERROR(AVERAGEIF(E14:$L14,"&gt;0")),"",AVERAGEIF(E14:$L14,"&gt;0"))</f>
        <v>18.588508049123259</v>
      </c>
      <c r="J25" s="9">
        <f>IF(ISERROR(AVERAGEIF(G14:$L14,"&gt;0")),"",AVERAGEIF(G14:$L14,"&gt;0"))</f>
        <v>19.437823427448198</v>
      </c>
      <c r="K25" s="9">
        <f>IF(ISERROR(AVERAGEIF(I14:$L14,"&gt;0")),"",AVERAGEIF(I14:$L14,"&gt;0"))</f>
        <v>18.587856618576527</v>
      </c>
      <c r="L25" s="9">
        <f>L14</f>
        <v>17.668271347695228</v>
      </c>
      <c r="M25" s="1">
        <f>MAX(K25:L25)</f>
        <v>18.587856618576527</v>
      </c>
      <c r="N25" s="1">
        <f>MIN(H25:L25)</f>
        <v>17.668271347695228</v>
      </c>
    </row>
    <row r="32" spans="1:14" ht="13.8" x14ac:dyDescent="0.25">
      <c r="A32" s="6" t="s">
        <v>97</v>
      </c>
      <c r="D32" s="37">
        <f t="shared" ref="D32:I32" si="6">G4/F4-1</f>
        <v>0.23117497962237188</v>
      </c>
      <c r="E32" s="37">
        <f t="shared" si="6"/>
        <v>0.1694215175842706</v>
      </c>
      <c r="F32" s="37">
        <f t="shared" si="6"/>
        <v>-4.2119724423754779E-2</v>
      </c>
      <c r="G32" s="37">
        <f t="shared" si="6"/>
        <v>0.10880596078957838</v>
      </c>
      <c r="H32" s="37">
        <f t="shared" si="6"/>
        <v>4.7064561927285808E-2</v>
      </c>
      <c r="I32" s="37">
        <f t="shared" si="6"/>
        <v>0</v>
      </c>
    </row>
    <row r="34" spans="1:10" ht="13.8" x14ac:dyDescent="0.25">
      <c r="A34" s="6" t="s">
        <v>98</v>
      </c>
      <c r="D34" s="37">
        <f t="shared" ref="D34:I34" si="7">G6/F6-1</f>
        <v>0.20852129356487503</v>
      </c>
      <c r="E34" s="37">
        <f t="shared" si="7"/>
        <v>0.24637894792987458</v>
      </c>
      <c r="F34" s="37">
        <f t="shared" si="7"/>
        <v>-2.0102893450346215E-2</v>
      </c>
      <c r="G34" s="37">
        <f t="shared" si="7"/>
        <v>2.5882649072775266E-2</v>
      </c>
      <c r="H34" s="37">
        <f t="shared" si="7"/>
        <v>5.7217162129998833E-2</v>
      </c>
      <c r="I34" s="37">
        <f t="shared" si="7"/>
        <v>0</v>
      </c>
    </row>
    <row r="37" spans="1:10" ht="13.8" x14ac:dyDescent="0.25">
      <c r="A37" s="6" t="s">
        <v>100</v>
      </c>
      <c r="F37" s="37">
        <f>G12/F12-1</f>
        <v>0.15815211238497429</v>
      </c>
      <c r="G37" s="37">
        <f>H12/G12-1</f>
        <v>0.25907551569083087</v>
      </c>
      <c r="H37" s="37">
        <f>I12/H12-1</f>
        <v>6.6024512731050811E-2</v>
      </c>
      <c r="I37" s="37">
        <f>J12/I12-1</f>
        <v>0.69837253247749853</v>
      </c>
      <c r="J37" s="37">
        <f>K12/J12-1</f>
        <v>-0.40456182369340554</v>
      </c>
    </row>
  </sheetData>
  <hyperlinks>
    <hyperlink ref="M1" r:id="rId1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8:R32"/>
  <sheetViews>
    <sheetView topLeftCell="A19" workbookViewId="0">
      <selection activeCell="F27" sqref="F27:R32"/>
    </sheetView>
  </sheetViews>
  <sheetFormatPr defaultRowHeight="13.8" x14ac:dyDescent="0.25"/>
  <sheetData>
    <row r="8" spans="6:16" ht="91.2" x14ac:dyDescent="0.25">
      <c r="F8" s="40" t="s">
        <v>109</v>
      </c>
    </row>
    <row r="9" spans="6:16" ht="52.8" x14ac:dyDescent="0.25">
      <c r="F9" s="41" t="s">
        <v>110</v>
      </c>
    </row>
    <row r="10" spans="6:16" ht="14.4" thickBot="1" x14ac:dyDescent="0.3">
      <c r="F10" s="39"/>
    </row>
    <row r="11" spans="6:16" ht="24.6" thickBot="1" x14ac:dyDescent="0.3">
      <c r="F11" s="42" t="s">
        <v>111</v>
      </c>
    </row>
    <row r="12" spans="6:16" x14ac:dyDescent="0.25">
      <c r="F12" s="43" t="s">
        <v>112</v>
      </c>
    </row>
    <row r="13" spans="6:16" ht="14.4" thickBot="1" x14ac:dyDescent="0.3">
      <c r="F13" s="44"/>
      <c r="G13" s="45">
        <v>42795</v>
      </c>
      <c r="H13" s="45">
        <v>43160</v>
      </c>
      <c r="I13" s="45">
        <v>43525</v>
      </c>
      <c r="J13" s="45">
        <v>43891</v>
      </c>
      <c r="K13" s="45">
        <v>44256</v>
      </c>
      <c r="L13" s="45">
        <v>44621</v>
      </c>
      <c r="M13" s="45">
        <v>44986</v>
      </c>
      <c r="N13" s="45">
        <v>45352</v>
      </c>
      <c r="O13" s="45">
        <v>45717</v>
      </c>
      <c r="P13" s="45">
        <v>46082</v>
      </c>
    </row>
    <row r="14" spans="6:16" x14ac:dyDescent="0.25">
      <c r="F14" s="46" t="s">
        <v>113</v>
      </c>
      <c r="G14" s="48">
        <v>0.20080000000000001</v>
      </c>
      <c r="H14" s="48">
        <v>0.18</v>
      </c>
      <c r="I14" s="48">
        <v>0.1704</v>
      </c>
      <c r="J14" s="48">
        <v>0.14649999999999999</v>
      </c>
      <c r="K14" s="48">
        <v>0.12790000000000001</v>
      </c>
      <c r="L14" s="48">
        <v>0.11990000000000001</v>
      </c>
      <c r="M14" s="48">
        <v>0.4335</v>
      </c>
      <c r="N14" s="48">
        <v>0.40949999999999998</v>
      </c>
      <c r="O14" s="48">
        <v>0.3987</v>
      </c>
      <c r="P14" s="48">
        <v>0.3483</v>
      </c>
    </row>
    <row r="15" spans="6:16" x14ac:dyDescent="0.25">
      <c r="F15" s="49" t="s">
        <v>114</v>
      </c>
      <c r="G15" s="50">
        <v>0.3579</v>
      </c>
      <c r="H15" s="50">
        <v>0.371</v>
      </c>
      <c r="I15" s="50">
        <v>0.38200000000000001</v>
      </c>
      <c r="J15" s="50">
        <v>0.42459999999999998</v>
      </c>
      <c r="K15" s="50">
        <v>0.42499999999999999</v>
      </c>
      <c r="L15" s="50">
        <v>0.42770000000000002</v>
      </c>
      <c r="M15" s="50">
        <v>0.42080000000000001</v>
      </c>
      <c r="N15" s="50">
        <v>0.43759999999999999</v>
      </c>
      <c r="O15" s="50">
        <v>0.45190000000000002</v>
      </c>
      <c r="P15" s="50">
        <v>0.49149999999999999</v>
      </c>
    </row>
    <row r="16" spans="6:16" ht="41.4" x14ac:dyDescent="0.25">
      <c r="F16" s="46" t="s">
        <v>115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4.0000000000000002E-4</v>
      </c>
      <c r="N16" s="48">
        <v>4.0000000000000002E-4</v>
      </c>
      <c r="O16" s="48">
        <v>4.0000000000000002E-4</v>
      </c>
      <c r="P16" s="48">
        <v>4.0000000000000002E-4</v>
      </c>
    </row>
    <row r="17" spans="6:18" ht="27.6" x14ac:dyDescent="0.25">
      <c r="F17" s="49" t="s">
        <v>116</v>
      </c>
      <c r="G17" s="50">
        <v>0.44130000000000003</v>
      </c>
      <c r="H17" s="50">
        <v>0.44900000000000001</v>
      </c>
      <c r="I17" s="50">
        <v>0.4476</v>
      </c>
      <c r="J17" s="50">
        <v>0.4289</v>
      </c>
      <c r="K17" s="50">
        <v>0.4471</v>
      </c>
      <c r="L17" s="50">
        <v>0.45240000000000002</v>
      </c>
      <c r="M17" s="50">
        <v>0.1452</v>
      </c>
      <c r="N17" s="50">
        <v>0.15229999999999999</v>
      </c>
      <c r="O17" s="50">
        <v>0.14899999999999999</v>
      </c>
      <c r="P17" s="50">
        <v>0.15959999999999999</v>
      </c>
    </row>
    <row r="18" spans="6:18" ht="55.2" x14ac:dyDescent="0.25">
      <c r="F18" s="51" t="s">
        <v>117</v>
      </c>
      <c r="G18" s="52" t="s">
        <v>118</v>
      </c>
      <c r="H18" s="52" t="s">
        <v>119</v>
      </c>
      <c r="I18" s="52" t="s">
        <v>120</v>
      </c>
      <c r="J18" s="52" t="s">
        <v>121</v>
      </c>
      <c r="K18" s="52" t="s">
        <v>122</v>
      </c>
      <c r="L18" s="52" t="s">
        <v>123</v>
      </c>
      <c r="M18" s="52" t="s">
        <v>124</v>
      </c>
      <c r="N18" s="52" t="s">
        <v>125</v>
      </c>
      <c r="O18" s="52" t="s">
        <v>126</v>
      </c>
      <c r="P18" s="52" t="s">
        <v>127</v>
      </c>
    </row>
    <row r="27" spans="6:18" ht="42" thickBot="1" x14ac:dyDescent="0.3">
      <c r="F27" s="57" t="s">
        <v>129</v>
      </c>
      <c r="G27" s="58" t="s">
        <v>130</v>
      </c>
      <c r="H27" s="59" t="s">
        <v>131</v>
      </c>
      <c r="I27" s="59" t="s">
        <v>132</v>
      </c>
      <c r="J27" s="59" t="s">
        <v>133</v>
      </c>
      <c r="K27" s="59" t="s">
        <v>134</v>
      </c>
      <c r="L27" s="59" t="s">
        <v>135</v>
      </c>
      <c r="M27" s="59" t="s">
        <v>136</v>
      </c>
      <c r="N27" s="59" t="s">
        <v>137</v>
      </c>
      <c r="O27" s="59" t="s">
        <v>138</v>
      </c>
      <c r="P27" s="59" t="s">
        <v>139</v>
      </c>
      <c r="Q27" s="59" t="s">
        <v>140</v>
      </c>
      <c r="R27" s="59" t="s">
        <v>141</v>
      </c>
    </row>
    <row r="28" spans="6:18" ht="14.4" x14ac:dyDescent="0.25">
      <c r="F28" s="60">
        <v>1</v>
      </c>
      <c r="G28" s="61" t="s">
        <v>142</v>
      </c>
      <c r="H28" s="62">
        <v>2166.4</v>
      </c>
      <c r="I28" s="62">
        <v>33.44</v>
      </c>
      <c r="J28" s="62">
        <v>509015.41</v>
      </c>
      <c r="K28" s="62">
        <v>1.89</v>
      </c>
      <c r="L28" s="62">
        <v>2994</v>
      </c>
      <c r="M28" s="62">
        <v>8.6199999999999992</v>
      </c>
      <c r="N28" s="62">
        <v>16351</v>
      </c>
      <c r="O28" s="62">
        <v>28.42</v>
      </c>
      <c r="P28" s="62">
        <v>1478</v>
      </c>
      <c r="Q28" s="62">
        <v>35.090000000000003</v>
      </c>
      <c r="R28" s="62">
        <v>64468</v>
      </c>
    </row>
    <row r="29" spans="6:18" ht="14.4" x14ac:dyDescent="0.25">
      <c r="F29" s="63">
        <v>2</v>
      </c>
      <c r="G29" s="64" t="s">
        <v>143</v>
      </c>
      <c r="H29" s="65">
        <v>290.10000000000002</v>
      </c>
      <c r="I29" s="65">
        <v>17.440000000000001</v>
      </c>
      <c r="J29" s="65">
        <v>363479.77</v>
      </c>
      <c r="K29" s="65">
        <v>4.96</v>
      </c>
      <c r="L29" s="65">
        <v>5469.74</v>
      </c>
      <c r="M29" s="65">
        <v>5.3</v>
      </c>
      <c r="N29" s="65">
        <v>17824.68</v>
      </c>
      <c r="O29" s="65">
        <v>38.93</v>
      </c>
      <c r="P29" s="65">
        <v>2399.06</v>
      </c>
      <c r="Q29" s="65">
        <v>12.77</v>
      </c>
      <c r="R29" s="65">
        <v>78868.399999999994</v>
      </c>
    </row>
    <row r="30" spans="6:18" ht="14.4" x14ac:dyDescent="0.25">
      <c r="F30" s="60">
        <v>3</v>
      </c>
      <c r="G30" s="61" t="s">
        <v>144</v>
      </c>
      <c r="H30" s="62">
        <v>549.20000000000005</v>
      </c>
      <c r="I30" s="62">
        <v>43.67</v>
      </c>
      <c r="J30" s="62">
        <v>6654.22</v>
      </c>
      <c r="K30" s="62">
        <v>0</v>
      </c>
      <c r="L30" s="62">
        <v>41.55</v>
      </c>
      <c r="M30" s="62">
        <v>34.17</v>
      </c>
      <c r="N30" s="62">
        <v>1116.75</v>
      </c>
      <c r="O30" s="62">
        <v>14.2</v>
      </c>
      <c r="P30" s="62">
        <v>1088.26</v>
      </c>
      <c r="Q30" s="62">
        <v>26.84</v>
      </c>
      <c r="R30" s="62">
        <v>4251.04</v>
      </c>
    </row>
    <row r="31" spans="6:18" ht="15" thickBot="1" x14ac:dyDescent="0.3">
      <c r="F31" s="66">
        <v>4</v>
      </c>
      <c r="G31" s="64" t="s">
        <v>145</v>
      </c>
      <c r="H31" s="67">
        <v>290.75</v>
      </c>
      <c r="I31" s="67">
        <v>44.24</v>
      </c>
      <c r="J31" s="67">
        <v>1487.95</v>
      </c>
      <c r="K31" s="67">
        <v>0</v>
      </c>
      <c r="L31" s="67">
        <v>52.88</v>
      </c>
      <c r="M31" s="67">
        <v>-30.03</v>
      </c>
      <c r="N31" s="67">
        <v>564.1</v>
      </c>
      <c r="O31" s="67">
        <v>6.55</v>
      </c>
      <c r="P31" s="67">
        <v>530.76</v>
      </c>
      <c r="Q31" s="67">
        <v>23.42</v>
      </c>
      <c r="R31" s="67">
        <v>1987.94</v>
      </c>
    </row>
    <row r="32" spans="6:18" ht="15" thickBot="1" x14ac:dyDescent="0.3">
      <c r="F32" s="68">
        <v>5</v>
      </c>
      <c r="G32" s="69" t="s">
        <v>146</v>
      </c>
      <c r="H32" s="70">
        <v>3.59</v>
      </c>
      <c r="I32" s="70">
        <v>60.31</v>
      </c>
      <c r="J32" s="70">
        <v>513.37</v>
      </c>
      <c r="K32" s="70">
        <v>0</v>
      </c>
      <c r="L32" s="70">
        <v>1.95</v>
      </c>
      <c r="M32" s="70">
        <v>0.52</v>
      </c>
      <c r="N32" s="70">
        <v>83.82</v>
      </c>
      <c r="O32" s="70">
        <v>5.56</v>
      </c>
      <c r="P32" s="70">
        <v>250.05</v>
      </c>
      <c r="Q32" s="70">
        <v>19.79</v>
      </c>
      <c r="R32" s="70">
        <v>238.77</v>
      </c>
    </row>
  </sheetData>
  <hyperlinks>
    <hyperlink ref="G28" r:id="rId1" display="https://www.screener.in/company/HINDUNILVR/consolidated/"/>
    <hyperlink ref="G29" r:id="rId2" display="https://www.screener.in/company/ITC/consolidated/"/>
    <hyperlink ref="G30" r:id="rId3" display="https://www.screener.in/company/HNDFDS/consolidated/"/>
    <hyperlink ref="G31" r:id="rId4" display="https://www.screener.in/company/GODAVARIB/consolidated/"/>
    <hyperlink ref="G32" r:id="rId5" display="https://www.screener.in/company/DAVANGERE/"/>
  </hyperlink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69921875" defaultRowHeight="14.4" x14ac:dyDescent="0.25"/>
  <cols>
    <col min="1" max="1" width="20.59765625" style="6" customWidth="1"/>
    <col min="2" max="11" width="13.3984375" style="6" customWidth="1"/>
    <col min="12" max="16384" width="8.69921875" style="6"/>
  </cols>
  <sheetData>
    <row r="1" spans="1:11" s="8" customFormat="1" ht="13.8" x14ac:dyDescent="0.25">
      <c r="A1" s="8" t="str">
        <f>'Profit &amp; Loss'!A1</f>
        <v>ITC LTD</v>
      </c>
      <c r="E1" t="str">
        <f>UPDATE</f>
        <v/>
      </c>
      <c r="J1" s="4" t="s">
        <v>1</v>
      </c>
      <c r="K1" s="4"/>
    </row>
    <row r="3" spans="1:11" s="2" customFormat="1" ht="13.8" x14ac:dyDescent="0.25">
      <c r="A3" s="15" t="s">
        <v>2</v>
      </c>
      <c r="B3" s="16">
        <f>'Data Sheet'!B41</f>
        <v>45291</v>
      </c>
      <c r="C3" s="16">
        <f>'Data Sheet'!C41</f>
        <v>45382</v>
      </c>
      <c r="D3" s="16">
        <f>'Data Sheet'!D41</f>
        <v>45473</v>
      </c>
      <c r="E3" s="16">
        <f>'Data Sheet'!E41</f>
        <v>45565</v>
      </c>
      <c r="F3" s="16">
        <f>'Data Sheet'!F41</f>
        <v>45657</v>
      </c>
      <c r="G3" s="16">
        <f>'Data Sheet'!G41</f>
        <v>45747</v>
      </c>
      <c r="H3" s="16">
        <f>'Data Sheet'!H41</f>
        <v>45838</v>
      </c>
      <c r="I3" s="16">
        <f>'Data Sheet'!I41</f>
        <v>45930</v>
      </c>
      <c r="J3" s="16">
        <f>'Data Sheet'!J41</f>
        <v>46022</v>
      </c>
      <c r="K3" s="16">
        <f>'Data Sheet'!K41</f>
        <v>46112</v>
      </c>
    </row>
    <row r="4" spans="1:11" s="8" customFormat="1" ht="13.8" x14ac:dyDescent="0.25">
      <c r="A4" s="8" t="s">
        <v>6</v>
      </c>
      <c r="B4" s="1">
        <f>'Data Sheet'!B42</f>
        <v>17195.240000000002</v>
      </c>
      <c r="C4" s="1">
        <f>'Data Sheet'!C42</f>
        <v>17037.8</v>
      </c>
      <c r="D4" s="1">
        <f>'Data Sheet'!D42</f>
        <v>17777.810000000001</v>
      </c>
      <c r="E4" s="1">
        <f>'Data Sheet'!E42</f>
        <v>19990.36</v>
      </c>
      <c r="F4" s="1">
        <f>'Data Sheet'!F42</f>
        <v>18790.169999999998</v>
      </c>
      <c r="G4" s="1">
        <f>'Data Sheet'!G42</f>
        <v>18765</v>
      </c>
      <c r="H4" s="1">
        <f>'Data Sheet'!H42</f>
        <v>21494.79</v>
      </c>
      <c r="I4" s="1">
        <f>'Data Sheet'!I42</f>
        <v>19501.63</v>
      </c>
      <c r="J4" s="1">
        <f>'Data Sheet'!J42</f>
        <v>20047.3</v>
      </c>
      <c r="K4" s="1">
        <f>'Data Sheet'!K42</f>
        <v>17824.68</v>
      </c>
    </row>
    <row r="5" spans="1:11" ht="13.8" x14ac:dyDescent="0.25">
      <c r="A5" s="6" t="s">
        <v>7</v>
      </c>
      <c r="B5" s="9">
        <f>'Data Sheet'!B43</f>
        <v>10985.01</v>
      </c>
      <c r="C5" s="9">
        <f>'Data Sheet'!C43</f>
        <v>10735.73</v>
      </c>
      <c r="D5" s="9">
        <f>'Data Sheet'!D43</f>
        <v>11232.97</v>
      </c>
      <c r="E5" s="9">
        <f>'Data Sheet'!E43</f>
        <v>13438.28</v>
      </c>
      <c r="F5" s="9">
        <f>'Data Sheet'!F43</f>
        <v>12428.27</v>
      </c>
      <c r="G5" s="9">
        <f>'Data Sheet'!G43</f>
        <v>12245.61</v>
      </c>
      <c r="H5" s="9">
        <f>'Data Sheet'!H43</f>
        <v>14678.32</v>
      </c>
      <c r="I5" s="9">
        <f>'Data Sheet'!I43</f>
        <v>12806.94</v>
      </c>
      <c r="J5" s="9">
        <f>'Data Sheet'!J43</f>
        <v>13164.78</v>
      </c>
      <c r="K5" s="9">
        <f>'Data Sheet'!K43</f>
        <v>10900.45</v>
      </c>
    </row>
    <row r="6" spans="1:11" s="8" customFormat="1" ht="13.8" x14ac:dyDescent="0.25">
      <c r="A6" s="8" t="s">
        <v>8</v>
      </c>
      <c r="B6" s="1">
        <f>'Data Sheet'!B50</f>
        <v>6210.23</v>
      </c>
      <c r="C6" s="1">
        <f>'Data Sheet'!C50</f>
        <v>6302.07</v>
      </c>
      <c r="D6" s="1">
        <f>'Data Sheet'!D50</f>
        <v>6544.84</v>
      </c>
      <c r="E6" s="1">
        <f>'Data Sheet'!E50</f>
        <v>6552.08</v>
      </c>
      <c r="F6" s="1">
        <f>'Data Sheet'!F50</f>
        <v>6361.9</v>
      </c>
      <c r="G6" s="1">
        <f>'Data Sheet'!G50</f>
        <v>6519.39</v>
      </c>
      <c r="H6" s="1">
        <f>'Data Sheet'!H50</f>
        <v>6816.47</v>
      </c>
      <c r="I6" s="1">
        <f>'Data Sheet'!I50</f>
        <v>6694.69</v>
      </c>
      <c r="J6" s="1">
        <f>'Data Sheet'!J50</f>
        <v>6882.52</v>
      </c>
      <c r="K6" s="1">
        <f>'Data Sheet'!K50</f>
        <v>6924.23</v>
      </c>
    </row>
    <row r="7" spans="1:11" ht="13.8" x14ac:dyDescent="0.25">
      <c r="A7" s="6" t="s">
        <v>9</v>
      </c>
      <c r="B7" s="9">
        <f>'Data Sheet'!B44</f>
        <v>820.26</v>
      </c>
      <c r="C7" s="9">
        <f>'Data Sheet'!C44</f>
        <v>868</v>
      </c>
      <c r="D7" s="9">
        <f>'Data Sheet'!D44</f>
        <v>771.13</v>
      </c>
      <c r="E7" s="9">
        <f>'Data Sheet'!E44</f>
        <v>690.31</v>
      </c>
      <c r="F7" s="9">
        <f>'Data Sheet'!F44</f>
        <v>803.4</v>
      </c>
      <c r="G7" s="9">
        <f>'Data Sheet'!G44</f>
        <v>15391.28</v>
      </c>
      <c r="H7" s="9">
        <f>'Data Sheet'!H44</f>
        <v>750.97</v>
      </c>
      <c r="I7" s="9">
        <f>'Data Sheet'!I44</f>
        <v>738.84</v>
      </c>
      <c r="J7" s="9">
        <f>'Data Sheet'!J44</f>
        <v>321.85000000000002</v>
      </c>
      <c r="K7" s="9">
        <f>'Data Sheet'!K44</f>
        <v>699.52</v>
      </c>
    </row>
    <row r="8" spans="1:11" ht="13.8" x14ac:dyDescent="0.25">
      <c r="A8" s="6" t="s">
        <v>10</v>
      </c>
      <c r="B8" s="9">
        <f>'Data Sheet'!B45</f>
        <v>384.04</v>
      </c>
      <c r="C8" s="9">
        <f>'Data Sheet'!C45</f>
        <v>385.09</v>
      </c>
      <c r="D8" s="9">
        <f>'Data Sheet'!D45</f>
        <v>403.13</v>
      </c>
      <c r="E8" s="9">
        <f>'Data Sheet'!E45</f>
        <v>416.18</v>
      </c>
      <c r="F8" s="9">
        <f>'Data Sheet'!F45</f>
        <v>415.98</v>
      </c>
      <c r="G8" s="9">
        <f>'Data Sheet'!G45</f>
        <v>411.03</v>
      </c>
      <c r="H8" s="9">
        <f>'Data Sheet'!H45</f>
        <v>422.96</v>
      </c>
      <c r="I8" s="9">
        <f>'Data Sheet'!I45</f>
        <v>434.8</v>
      </c>
      <c r="J8" s="9">
        <f>'Data Sheet'!J45</f>
        <v>430.82</v>
      </c>
      <c r="K8" s="9">
        <f>'Data Sheet'!K45</f>
        <v>421.95</v>
      </c>
    </row>
    <row r="9" spans="1:11" ht="13.8" x14ac:dyDescent="0.25">
      <c r="A9" s="6" t="s">
        <v>11</v>
      </c>
      <c r="B9" s="9">
        <f>'Data Sheet'!B46</f>
        <v>11.94</v>
      </c>
      <c r="C9" s="9">
        <f>'Data Sheet'!C46</f>
        <v>10.72</v>
      </c>
      <c r="D9" s="9">
        <f>'Data Sheet'!D46</f>
        <v>9.6</v>
      </c>
      <c r="E9" s="9">
        <f>'Data Sheet'!E46</f>
        <v>14.73</v>
      </c>
      <c r="F9" s="9">
        <f>'Data Sheet'!F46</f>
        <v>9.82</v>
      </c>
      <c r="G9" s="9">
        <f>'Data Sheet'!G46</f>
        <v>10.91</v>
      </c>
      <c r="H9" s="9">
        <f>'Data Sheet'!H46</f>
        <v>16.47</v>
      </c>
      <c r="I9" s="9">
        <f>'Data Sheet'!I46</f>
        <v>20.05</v>
      </c>
      <c r="J9" s="9">
        <f>'Data Sheet'!J46</f>
        <v>19.47</v>
      </c>
      <c r="K9" s="9">
        <f>'Data Sheet'!K46</f>
        <v>29.18</v>
      </c>
    </row>
    <row r="10" spans="1:11" ht="13.8" x14ac:dyDescent="0.25">
      <c r="A10" s="6" t="s">
        <v>12</v>
      </c>
      <c r="B10" s="9">
        <f>'Data Sheet'!B47</f>
        <v>6634.51</v>
      </c>
      <c r="C10" s="9">
        <f>'Data Sheet'!C47</f>
        <v>6774.26</v>
      </c>
      <c r="D10" s="9">
        <f>'Data Sheet'!D47</f>
        <v>6903.24</v>
      </c>
      <c r="E10" s="9">
        <f>'Data Sheet'!E47</f>
        <v>6811.48</v>
      </c>
      <c r="F10" s="9">
        <f>'Data Sheet'!F47</f>
        <v>6739.5</v>
      </c>
      <c r="G10" s="9">
        <f>'Data Sheet'!G47</f>
        <v>21488.73</v>
      </c>
      <c r="H10" s="9">
        <f>'Data Sheet'!H47</f>
        <v>7128.01</v>
      </c>
      <c r="I10" s="9">
        <f>'Data Sheet'!I47</f>
        <v>6978.68</v>
      </c>
      <c r="J10" s="9">
        <f>'Data Sheet'!J47</f>
        <v>6754.08</v>
      </c>
      <c r="K10" s="9">
        <f>'Data Sheet'!K47</f>
        <v>7172.62</v>
      </c>
    </row>
    <row r="11" spans="1:11" ht="13.8" x14ac:dyDescent="0.25">
      <c r="A11" s="6" t="s">
        <v>13</v>
      </c>
      <c r="B11" s="9">
        <f>'Data Sheet'!B48</f>
        <v>1227.99</v>
      </c>
      <c r="C11" s="9">
        <f>'Data Sheet'!C48</f>
        <v>1583.55</v>
      </c>
      <c r="D11" s="9">
        <f>'Data Sheet'!D48</f>
        <v>1726.25</v>
      </c>
      <c r="E11" s="9">
        <f>'Data Sheet'!E48</f>
        <v>1757.05</v>
      </c>
      <c r="F11" s="9">
        <f>'Data Sheet'!F48</f>
        <v>1726.32</v>
      </c>
      <c r="G11" s="9">
        <f>'Data Sheet'!G48</f>
        <v>1680.85</v>
      </c>
      <c r="H11" s="9">
        <f>'Data Sheet'!H48</f>
        <v>1784.6</v>
      </c>
      <c r="I11" s="9">
        <f>'Data Sheet'!I48</f>
        <v>1792.13</v>
      </c>
      <c r="J11" s="9">
        <f>'Data Sheet'!J48</f>
        <v>1735.63</v>
      </c>
      <c r="K11" s="9">
        <f>'Data Sheet'!K48</f>
        <v>1702.88</v>
      </c>
    </row>
    <row r="12" spans="1:11" s="8" customFormat="1" ht="13.8" x14ac:dyDescent="0.25">
      <c r="A12" s="8" t="s">
        <v>14</v>
      </c>
      <c r="B12" s="1">
        <f>'Data Sheet'!B49</f>
        <v>5335.23</v>
      </c>
      <c r="C12" s="1">
        <f>'Data Sheet'!C49</f>
        <v>5120.55</v>
      </c>
      <c r="D12" s="1">
        <f>'Data Sheet'!D49</f>
        <v>5091.59</v>
      </c>
      <c r="E12" s="1">
        <f>'Data Sheet'!E49</f>
        <v>4992.87</v>
      </c>
      <c r="F12" s="1">
        <f>'Data Sheet'!F49</f>
        <v>4934.8</v>
      </c>
      <c r="G12" s="1">
        <f>'Data Sheet'!G49</f>
        <v>19727.37</v>
      </c>
      <c r="H12" s="1">
        <f>'Data Sheet'!H49</f>
        <v>5244.2</v>
      </c>
      <c r="I12" s="1">
        <f>'Data Sheet'!I49</f>
        <v>5126.1099999999997</v>
      </c>
      <c r="J12" s="1">
        <f>'Data Sheet'!J49</f>
        <v>4931.1899999999996</v>
      </c>
      <c r="K12" s="1">
        <f>'Data Sheet'!K49</f>
        <v>5387.97</v>
      </c>
    </row>
    <row r="14" spans="1:11" s="8" customFormat="1" ht="13.8" x14ac:dyDescent="0.25">
      <c r="A14" s="2" t="s">
        <v>18</v>
      </c>
      <c r="B14" s="14">
        <f>IF(B4&gt;0,B6/B4,"")</f>
        <v>0.36115983260483708</v>
      </c>
      <c r="C14" s="14">
        <f t="shared" ref="C14:K14" si="0">IF(C4&gt;0,C6/C4,"")</f>
        <v>0.36988754416650038</v>
      </c>
      <c r="D14" s="14">
        <f t="shared" si="0"/>
        <v>0.36814658273431877</v>
      </c>
      <c r="E14" s="14">
        <f t="shared" si="0"/>
        <v>0.32776198127497452</v>
      </c>
      <c r="F14" s="14">
        <f t="shared" si="0"/>
        <v>0.3385759681791064</v>
      </c>
      <c r="G14" s="14">
        <f t="shared" si="0"/>
        <v>0.34742286171063153</v>
      </c>
      <c r="H14" s="14">
        <f t="shared" si="0"/>
        <v>0.31712196304313744</v>
      </c>
      <c r="I14" s="14">
        <f t="shared" si="0"/>
        <v>0.34328874047964192</v>
      </c>
      <c r="J14" s="14">
        <f t="shared" si="0"/>
        <v>0.34331406224279581</v>
      </c>
      <c r="K14" s="14">
        <f t="shared" si="0"/>
        <v>0.38846307479292752</v>
      </c>
    </row>
    <row r="22" s="30" customFormat="1" ht="13.8" x14ac:dyDescent="0.25"/>
  </sheetData>
  <hyperlinks>
    <hyperlink ref="J1" r:id="rId1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26"/>
  <sheetViews>
    <sheetView zoomScale="125" workbookViewId="0">
      <pane xSplit="1" ySplit="3" topLeftCell="E7" activePane="bottomRight" state="frozen"/>
      <selection activeCell="C4" sqref="C4"/>
      <selection pane="topRight" activeCell="C4" sqref="C4"/>
      <selection pane="bottomLeft" activeCell="C4" sqref="C4"/>
      <selection pane="bottomRight" activeCell="G25" sqref="G25:K25"/>
    </sheetView>
  </sheetViews>
  <sheetFormatPr defaultColWidth="8.69921875" defaultRowHeight="13.8" x14ac:dyDescent="0.25"/>
  <cols>
    <col min="1" max="1" width="22.69921875" style="11" customWidth="1"/>
    <col min="2" max="2" width="13.3984375" style="11" customWidth="1"/>
    <col min="3" max="11" width="15.3984375" style="11" customWidth="1"/>
    <col min="12" max="16384" width="8.69921875" style="11"/>
  </cols>
  <sheetData>
    <row r="1" spans="1:11" s="8" customFormat="1" x14ac:dyDescent="0.25">
      <c r="A1" s="8" t="str">
        <f>'Profit &amp; Loss'!A1</f>
        <v>ITC LTD</v>
      </c>
      <c r="E1" t="str">
        <f>UPDATE</f>
        <v/>
      </c>
      <c r="G1"/>
      <c r="J1" s="4" t="s">
        <v>1</v>
      </c>
      <c r="K1" s="4"/>
    </row>
    <row r="2" spans="1:11" x14ac:dyDescent="0.25">
      <c r="G2" s="8"/>
      <c r="H2" s="8"/>
    </row>
    <row r="3" spans="1:11" s="18" customFormat="1" x14ac:dyDescent="0.25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8"/>
      <c r="H3" s="8"/>
      <c r="I3" s="11"/>
      <c r="J3" s="11"/>
      <c r="K3" s="11"/>
    </row>
    <row r="4" spans="1:11" x14ac:dyDescent="0.25">
      <c r="A4" s="6" t="s">
        <v>24</v>
      </c>
      <c r="B4" s="19">
        <f>'Data Sheet'!B57</f>
        <v>1214.74</v>
      </c>
      <c r="C4" s="19">
        <f>'Data Sheet'!C57</f>
        <v>1220.43</v>
      </c>
      <c r="D4" s="19">
        <f>'Data Sheet'!D57</f>
        <v>1225.8599999999999</v>
      </c>
      <c r="E4" s="19">
        <f>'Data Sheet'!E57</f>
        <v>1229.22</v>
      </c>
      <c r="F4" s="19">
        <f>'Data Sheet'!F57</f>
        <v>1230.8800000000001</v>
      </c>
      <c r="G4" s="16">
        <f>'Data Sheet'!G56</f>
        <v>44651</v>
      </c>
      <c r="H4" s="16">
        <f>'Data Sheet'!H56</f>
        <v>45016</v>
      </c>
      <c r="I4" s="16">
        <f>'Data Sheet'!I56</f>
        <v>45382</v>
      </c>
      <c r="J4" s="16">
        <f>'Data Sheet'!J56</f>
        <v>45747</v>
      </c>
      <c r="K4" s="16">
        <f>'Data Sheet'!K56</f>
        <v>46112</v>
      </c>
    </row>
    <row r="5" spans="1:11" s="6" customFormat="1" x14ac:dyDescent="0.25">
      <c r="A5" s="6" t="s">
        <v>25</v>
      </c>
      <c r="B5" s="19">
        <f>'Data Sheet'!B58</f>
        <v>45198.19</v>
      </c>
      <c r="C5" s="19">
        <f>'Data Sheet'!C58</f>
        <v>51289.68</v>
      </c>
      <c r="D5" s="19">
        <f>'Data Sheet'!D58</f>
        <v>57915.01</v>
      </c>
      <c r="E5" s="19">
        <f>'Data Sheet'!E58</f>
        <v>64044.04</v>
      </c>
      <c r="F5" s="19">
        <f>'Data Sheet'!F58</f>
        <v>59116.46</v>
      </c>
      <c r="G5" s="19">
        <f>'Data Sheet'!G57</f>
        <v>1232.33</v>
      </c>
      <c r="H5" s="19">
        <f>'Data Sheet'!H57</f>
        <v>1242.8</v>
      </c>
      <c r="I5" s="19">
        <f>'Data Sheet'!I57</f>
        <v>1248.47</v>
      </c>
      <c r="J5" s="19">
        <f>'Data Sheet'!J57</f>
        <v>1251.4100000000001</v>
      </c>
      <c r="K5" s="19">
        <f>'Data Sheet'!K57</f>
        <v>1252.95</v>
      </c>
    </row>
    <row r="6" spans="1:11" x14ac:dyDescent="0.25">
      <c r="A6" s="11" t="s">
        <v>71</v>
      </c>
      <c r="B6" s="19">
        <f>'Data Sheet'!B59</f>
        <v>45.72</v>
      </c>
      <c r="C6" s="19">
        <f>'Data Sheet'!C59</f>
        <v>35.92</v>
      </c>
      <c r="D6" s="19">
        <f>'Data Sheet'!D59</f>
        <v>13.44</v>
      </c>
      <c r="E6" s="19">
        <f>'Data Sheet'!E59</f>
        <v>277.45</v>
      </c>
      <c r="F6" s="19">
        <f>'Data Sheet'!F59</f>
        <v>270.83</v>
      </c>
      <c r="G6" s="19">
        <f>'Data Sheet'!G58</f>
        <v>61223.24</v>
      </c>
      <c r="H6" s="19">
        <f>'Data Sheet'!H58</f>
        <v>67912.460000000006</v>
      </c>
      <c r="I6" s="19">
        <f>'Data Sheet'!I58</f>
        <v>73258.53</v>
      </c>
      <c r="J6" s="19">
        <f>'Data Sheet'!J58</f>
        <v>68778.64</v>
      </c>
      <c r="K6" s="19">
        <f>'Data Sheet'!K58</f>
        <v>71254.350000000006</v>
      </c>
    </row>
    <row r="7" spans="1:11" s="6" customFormat="1" x14ac:dyDescent="0.25">
      <c r="A7" s="11" t="s">
        <v>72</v>
      </c>
      <c r="B7" s="19">
        <f>'Data Sheet'!B60</f>
        <v>9439.67</v>
      </c>
      <c r="C7" s="19">
        <f>'Data Sheet'!C60</f>
        <v>11694.85</v>
      </c>
      <c r="D7" s="19">
        <f>'Data Sheet'!D60</f>
        <v>12584.73</v>
      </c>
      <c r="E7" s="19">
        <f>'Data Sheet'!E60</f>
        <v>11760.04</v>
      </c>
      <c r="F7" s="19">
        <f>'Data Sheet'!F60</f>
        <v>13142.59</v>
      </c>
      <c r="G7" s="19">
        <f>'Data Sheet'!G59</f>
        <v>249.44</v>
      </c>
      <c r="H7" s="19">
        <f>'Data Sheet'!H59</f>
        <v>306.04000000000002</v>
      </c>
      <c r="I7" s="19">
        <f>'Data Sheet'!I59</f>
        <v>303.43</v>
      </c>
      <c r="J7" s="19">
        <f>'Data Sheet'!J59</f>
        <v>284.54000000000002</v>
      </c>
      <c r="K7" s="19">
        <f>'Data Sheet'!K59</f>
        <v>2399.06</v>
      </c>
    </row>
    <row r="8" spans="1:11" s="8" customFormat="1" x14ac:dyDescent="0.25">
      <c r="A8" s="8" t="s">
        <v>26</v>
      </c>
      <c r="B8" s="20">
        <f>'Data Sheet'!B61</f>
        <v>55898.32</v>
      </c>
      <c r="C8" s="20">
        <f>'Data Sheet'!C61</f>
        <v>64240.88</v>
      </c>
      <c r="D8" s="20">
        <f>'Data Sheet'!D61</f>
        <v>71739.039999999994</v>
      </c>
      <c r="E8" s="20">
        <f>'Data Sheet'!E61</f>
        <v>77310.75</v>
      </c>
      <c r="F8" s="20">
        <f>'Data Sheet'!F61</f>
        <v>73760.759999999995</v>
      </c>
      <c r="G8" s="19">
        <f>'Data Sheet'!G60</f>
        <v>14491.01</v>
      </c>
      <c r="H8" s="19">
        <f>'Data Sheet'!H60</f>
        <v>16369.66</v>
      </c>
      <c r="I8" s="19">
        <f>'Data Sheet'!I60</f>
        <v>16943.54</v>
      </c>
      <c r="J8" s="19">
        <f>'Data Sheet'!J60</f>
        <v>17688.11</v>
      </c>
      <c r="K8" s="19">
        <f>'Data Sheet'!K60</f>
        <v>18886.02</v>
      </c>
    </row>
    <row r="9" spans="1:11" s="8" customFormat="1" x14ac:dyDescent="0.25">
      <c r="B9" s="20"/>
      <c r="C9" s="20"/>
      <c r="D9" s="20"/>
      <c r="E9" s="20"/>
      <c r="F9" s="20"/>
      <c r="G9" s="20">
        <f>'Data Sheet'!G61</f>
        <v>77196.02</v>
      </c>
      <c r="H9" s="20">
        <f>'Data Sheet'!H61</f>
        <v>85830.96</v>
      </c>
      <c r="I9" s="20">
        <f>'Data Sheet'!I61</f>
        <v>91753.97</v>
      </c>
      <c r="J9" s="20">
        <f>'Data Sheet'!J61</f>
        <v>88002.7</v>
      </c>
      <c r="K9" s="20">
        <f>'Data Sheet'!K61</f>
        <v>93792.38</v>
      </c>
    </row>
    <row r="10" spans="1:11" x14ac:dyDescent="0.25">
      <c r="A10" s="6" t="s">
        <v>27</v>
      </c>
      <c r="B10" s="19">
        <f>'Data Sheet'!B62</f>
        <v>15893.48</v>
      </c>
      <c r="C10" s="19">
        <f>'Data Sheet'!C62</f>
        <v>16523.96</v>
      </c>
      <c r="D10" s="19">
        <f>'Data Sheet'!D62</f>
        <v>19374.189999999999</v>
      </c>
      <c r="E10" s="19">
        <f>'Data Sheet'!E62</f>
        <v>21713.34</v>
      </c>
      <c r="F10" s="19">
        <f>'Data Sheet'!F62</f>
        <v>23298.48</v>
      </c>
      <c r="G10" s="20"/>
      <c r="H10" s="20"/>
      <c r="I10" s="20"/>
      <c r="J10" s="20"/>
      <c r="K10" s="20"/>
    </row>
    <row r="11" spans="1:11" x14ac:dyDescent="0.25">
      <c r="A11" s="6" t="s">
        <v>28</v>
      </c>
      <c r="B11" s="19">
        <f>'Data Sheet'!B63</f>
        <v>3729.89</v>
      </c>
      <c r="C11" s="19">
        <f>'Data Sheet'!C63</f>
        <v>5508.33</v>
      </c>
      <c r="D11" s="19">
        <f>'Data Sheet'!D63</f>
        <v>4136.42</v>
      </c>
      <c r="E11" s="19">
        <f>'Data Sheet'!E63</f>
        <v>3256.46</v>
      </c>
      <c r="F11" s="19">
        <f>'Data Sheet'!F63</f>
        <v>4011.29</v>
      </c>
      <c r="G11" s="19">
        <f>'Data Sheet'!G62</f>
        <v>24231.59</v>
      </c>
      <c r="H11" s="19">
        <f>'Data Sheet'!H62</f>
        <v>25851.27</v>
      </c>
      <c r="I11" s="19">
        <f>'Data Sheet'!I62</f>
        <v>27820.22</v>
      </c>
      <c r="J11" s="19">
        <f>'Data Sheet'!J62</f>
        <v>21954.85</v>
      </c>
      <c r="K11" s="19">
        <f>'Data Sheet'!K62</f>
        <v>22545</v>
      </c>
    </row>
    <row r="12" spans="1:11" x14ac:dyDescent="0.25">
      <c r="A12" s="6" t="s">
        <v>29</v>
      </c>
      <c r="B12" s="19">
        <f>'Data Sheet'!B64</f>
        <v>17581.38</v>
      </c>
      <c r="C12" s="19">
        <f>'Data Sheet'!C64</f>
        <v>22052.86</v>
      </c>
      <c r="D12" s="19">
        <f>'Data Sheet'!D64</f>
        <v>25043.49</v>
      </c>
      <c r="E12" s="19">
        <f>'Data Sheet'!E64</f>
        <v>28663.35</v>
      </c>
      <c r="F12" s="19">
        <f>'Data Sheet'!F64</f>
        <v>24870.87</v>
      </c>
      <c r="G12" s="19">
        <f>'Data Sheet'!G63</f>
        <v>3225.54</v>
      </c>
      <c r="H12" s="19">
        <f>'Data Sheet'!H63</f>
        <v>3003.3</v>
      </c>
      <c r="I12" s="19">
        <f>'Data Sheet'!I63</f>
        <v>2860.78</v>
      </c>
      <c r="J12" s="19">
        <f>'Data Sheet'!J63</f>
        <v>1090.9100000000001</v>
      </c>
      <c r="K12" s="19">
        <f>'Data Sheet'!K63</f>
        <v>1499.41</v>
      </c>
    </row>
    <row r="13" spans="1:11" x14ac:dyDescent="0.25">
      <c r="A13" s="11" t="s">
        <v>73</v>
      </c>
      <c r="B13" s="19">
        <f>'Data Sheet'!B65</f>
        <v>18693.57</v>
      </c>
      <c r="C13" s="19">
        <f>'Data Sheet'!C65</f>
        <v>20155.73</v>
      </c>
      <c r="D13" s="19">
        <f>'Data Sheet'!D65</f>
        <v>23184.94</v>
      </c>
      <c r="E13" s="19">
        <f>'Data Sheet'!E65</f>
        <v>23677.599999999999</v>
      </c>
      <c r="F13" s="19">
        <f>'Data Sheet'!F65</f>
        <v>21580.12</v>
      </c>
      <c r="G13" s="19">
        <f>'Data Sheet'!G64</f>
        <v>24841.01</v>
      </c>
      <c r="H13" s="19">
        <f>'Data Sheet'!H64</f>
        <v>29415.02</v>
      </c>
      <c r="I13" s="19">
        <f>'Data Sheet'!I64</f>
        <v>31114.02</v>
      </c>
      <c r="J13" s="19">
        <f>'Data Sheet'!J64</f>
        <v>34719.82</v>
      </c>
      <c r="K13" s="19">
        <f>'Data Sheet'!K64</f>
        <v>38128.43</v>
      </c>
    </row>
    <row r="14" spans="1:11" s="8" customFormat="1" x14ac:dyDescent="0.25">
      <c r="A14" s="8" t="s">
        <v>26</v>
      </c>
      <c r="B14" s="19">
        <f>'Data Sheet'!B66</f>
        <v>55898.32</v>
      </c>
      <c r="C14" s="19">
        <f>'Data Sheet'!C66</f>
        <v>64240.88</v>
      </c>
      <c r="D14" s="19">
        <f>'Data Sheet'!D66</f>
        <v>71739.039999999994</v>
      </c>
      <c r="E14" s="19">
        <f>'Data Sheet'!E66</f>
        <v>77310.75</v>
      </c>
      <c r="F14" s="19">
        <f>'Data Sheet'!F66</f>
        <v>73760.759999999995</v>
      </c>
      <c r="G14" s="19">
        <f>'Data Sheet'!G65</f>
        <v>24897.88</v>
      </c>
      <c r="H14" s="19">
        <f>'Data Sheet'!H65</f>
        <v>27561.37</v>
      </c>
      <c r="I14" s="19">
        <f>'Data Sheet'!I65</f>
        <v>29958.95</v>
      </c>
      <c r="J14" s="19">
        <f>'Data Sheet'!J65</f>
        <v>30237.119999999999</v>
      </c>
      <c r="K14" s="19">
        <f>'Data Sheet'!K65</f>
        <v>31619.54</v>
      </c>
    </row>
    <row r="15" spans="1:11" x14ac:dyDescent="0.25">
      <c r="A15" s="6"/>
      <c r="B15" s="21"/>
      <c r="C15" s="21"/>
      <c r="D15" s="21"/>
      <c r="E15" s="21"/>
      <c r="F15" s="21"/>
      <c r="G15" s="19">
        <f>'Data Sheet'!G66</f>
        <v>77196.02</v>
      </c>
      <c r="H15" s="19">
        <f>'Data Sheet'!H66</f>
        <v>85830.96</v>
      </c>
      <c r="I15" s="19">
        <f>'Data Sheet'!I66</f>
        <v>91753.97</v>
      </c>
      <c r="J15" s="19">
        <f>'Data Sheet'!J66</f>
        <v>88002.7</v>
      </c>
      <c r="K15" s="19">
        <f>'Data Sheet'!K66</f>
        <v>93792.38</v>
      </c>
    </row>
    <row r="16" spans="1:11" x14ac:dyDescent="0.25">
      <c r="A16" s="29" t="s">
        <v>30</v>
      </c>
      <c r="B16" s="21">
        <f>B13-B7</f>
        <v>9253.9</v>
      </c>
      <c r="C16" s="21">
        <f t="shared" ref="C16:K17" si="0">C13-C7</f>
        <v>8460.8799999999992</v>
      </c>
      <c r="D16" s="21">
        <f t="shared" si="0"/>
        <v>10600.21</v>
      </c>
      <c r="E16" s="21">
        <f t="shared" si="0"/>
        <v>11917.559999999998</v>
      </c>
      <c r="F16" s="21">
        <f t="shared" si="0"/>
        <v>8437.5299999999988</v>
      </c>
      <c r="G16" s="21"/>
      <c r="H16" s="21"/>
      <c r="I16" s="21"/>
      <c r="J16" s="21"/>
      <c r="K16" s="21"/>
    </row>
    <row r="17" spans="1:11" x14ac:dyDescent="0.25">
      <c r="A17" s="11" t="s">
        <v>44</v>
      </c>
      <c r="B17" s="21">
        <f>'Data Sheet'!B67</f>
        <v>2474.29</v>
      </c>
      <c r="C17" s="21">
        <f>'Data Sheet'!C67</f>
        <v>2682.29</v>
      </c>
      <c r="D17" s="21">
        <f>'Data Sheet'!D67</f>
        <v>4035.28</v>
      </c>
      <c r="E17" s="21">
        <f>'Data Sheet'!E67</f>
        <v>2562.48</v>
      </c>
      <c r="F17" s="21">
        <f>'Data Sheet'!F67</f>
        <v>2501.6999999999998</v>
      </c>
      <c r="G17" s="21">
        <f t="shared" si="0"/>
        <v>10406.870000000001</v>
      </c>
      <c r="H17" s="21">
        <f t="shared" si="0"/>
        <v>11191.71</v>
      </c>
      <c r="I17" s="21">
        <f t="shared" si="0"/>
        <v>13015.41</v>
      </c>
      <c r="J17" s="21">
        <f t="shared" si="0"/>
        <v>12549.009999999998</v>
      </c>
      <c r="K17" s="21">
        <f t="shared" si="0"/>
        <v>12733.52</v>
      </c>
    </row>
    <row r="18" spans="1:11" x14ac:dyDescent="0.25">
      <c r="A18" s="11" t="s">
        <v>45</v>
      </c>
      <c r="B18" s="21">
        <f>'Data Sheet'!B68</f>
        <v>8116.1</v>
      </c>
      <c r="C18" s="21">
        <f>'Data Sheet'!C68</f>
        <v>7495.09</v>
      </c>
      <c r="D18" s="21">
        <f>'Data Sheet'!D68</f>
        <v>7859.56</v>
      </c>
      <c r="E18" s="21">
        <f>'Data Sheet'!E68</f>
        <v>8879.33</v>
      </c>
      <c r="F18" s="21">
        <f>'Data Sheet'!F68</f>
        <v>10397.16</v>
      </c>
      <c r="G18" s="21">
        <f>'Data Sheet'!G67</f>
        <v>2461.9</v>
      </c>
      <c r="H18" s="21">
        <f>'Data Sheet'!H67</f>
        <v>2956.17</v>
      </c>
      <c r="I18" s="21">
        <f>'Data Sheet'!I67</f>
        <v>4025.82</v>
      </c>
      <c r="J18" s="21">
        <f>'Data Sheet'!J67</f>
        <v>4719.67</v>
      </c>
      <c r="K18" s="21">
        <f>'Data Sheet'!K67</f>
        <v>3922.86</v>
      </c>
    </row>
    <row r="19" spans="1:11" x14ac:dyDescent="0.25">
      <c r="G19" s="21">
        <f>'Data Sheet'!G68</f>
        <v>10864.15</v>
      </c>
      <c r="H19" s="21">
        <f>'Data Sheet'!H68</f>
        <v>11771.16</v>
      </c>
      <c r="I19" s="21">
        <f>'Data Sheet'!I68</f>
        <v>14152.88</v>
      </c>
      <c r="J19" s="21">
        <f>'Data Sheet'!J68</f>
        <v>15637.56</v>
      </c>
      <c r="K19" s="21">
        <f>'Data Sheet'!K68</f>
        <v>18622.96</v>
      </c>
    </row>
    <row r="20" spans="1:11" x14ac:dyDescent="0.25">
      <c r="A20" s="11" t="s">
        <v>46</v>
      </c>
      <c r="B20" s="5">
        <f>IF('Profit &amp; Loss'!B4&gt;0,'Balance Sheet'!B17/('Profit &amp; Loss'!B4/365),0)</f>
        <v>21.116823249375695</v>
      </c>
      <c r="C20" s="5">
        <f>IF('Profit &amp; Loss'!C4&gt;0,'Balance Sheet'!C17/('Profit &amp; Loss'!C4/365),0)</f>
        <v>22.533020368275956</v>
      </c>
      <c r="D20" s="5">
        <f>IF('Profit &amp; Loss'!D4&gt;0,'Balance Sheet'!D17/('Profit &amp; Loss'!D4/365),0)</f>
        <v>30.469383474163411</v>
      </c>
      <c r="E20" s="5">
        <f>IF('Profit &amp; Loss'!E4&gt;0,'Balance Sheet'!E17/('Profit &amp; Loss'!E4/365),0)</f>
        <v>18.938018980434403</v>
      </c>
      <c r="F20" s="5">
        <f>IF('Profit &amp; Loss'!F4&gt;0,'Balance Sheet'!F17/('Profit &amp; Loss'!F4/365),0)</f>
        <v>18.537713584442557</v>
      </c>
    </row>
    <row r="21" spans="1:11" x14ac:dyDescent="0.25">
      <c r="A21" s="11" t="s">
        <v>47</v>
      </c>
      <c r="B21" s="5">
        <f>IF('Balance Sheet'!B18&gt;0,'Profit &amp; Loss'!B4/'Balance Sheet'!B18,0)</f>
        <v>5.2694767191138601</v>
      </c>
      <c r="C21" s="5">
        <f>IF('Balance Sheet'!C18&gt;0,'Profit &amp; Loss'!C4/'Balance Sheet'!C18,0)</f>
        <v>5.7969870942176813</v>
      </c>
      <c r="D21" s="5">
        <f>IF('Balance Sheet'!D18&gt;0,'Profit &amp; Loss'!D4/'Balance Sheet'!D18,0)</f>
        <v>6.1504180895622653</v>
      </c>
      <c r="E21" s="5">
        <f>IF('Balance Sheet'!E18&gt;0,'Profit &amp; Loss'!E4/'Balance Sheet'!E18,0)</f>
        <v>5.5620975906965953</v>
      </c>
      <c r="F21" s="5">
        <f>IF('Balance Sheet'!F18&gt;0,'Profit &amp; Loss'!F4/'Balance Sheet'!F18,0)</f>
        <v>4.7375869949101483</v>
      </c>
      <c r="G21" s="5">
        <f>IF('Profit &amp; Loss'!G4&gt;0,'Balance Sheet'!G18/('Profit &amp; Loss'!G4/365),0)</f>
        <v>14.817385044061677</v>
      </c>
      <c r="H21" s="5">
        <f>IF('Profit &amp; Loss'!H4&gt;0,'Balance Sheet'!H18/('Profit &amp; Loss'!H4/365),0)</f>
        <v>15.214563002342249</v>
      </c>
      <c r="I21" s="5">
        <f>IF('Profit &amp; Loss'!I4&gt;0,'Balance Sheet'!I18/('Profit &amp; Loss'!I4/365),0)</f>
        <v>21.630830799179297</v>
      </c>
      <c r="J21" s="5">
        <f>IF('Profit &amp; Loss'!J4&gt;0,'Balance Sheet'!J18/('Profit &amp; Loss'!J4/365),0)</f>
        <v>22.870461532906003</v>
      </c>
      <c r="K21" s="5">
        <f>IF('Profit &amp; Loss'!K4&gt;0,'Balance Sheet'!K18/('Profit &amp; Loss'!K4/365),0)</f>
        <v>18.154849090383479</v>
      </c>
    </row>
    <row r="22" spans="1:11" x14ac:dyDescent="0.25">
      <c r="G22" s="5">
        <f>IF('Balance Sheet'!G19&gt;0,'Profit &amp; Loss'!G4/'Balance Sheet'!G19,0)</f>
        <v>5.5820786715941884</v>
      </c>
      <c r="H22" s="5">
        <f>IF('Balance Sheet'!H19&gt;0,'Profit &amp; Loss'!H4/'Balance Sheet'!H19,0)</f>
        <v>6.0248123379514</v>
      </c>
      <c r="I22" s="5">
        <f>IF('Balance Sheet'!I19&gt;0,'Profit &amp; Loss'!I4/'Balance Sheet'!I19,0)</f>
        <v>4.7998668822176125</v>
      </c>
      <c r="J22" s="5">
        <f>IF('Balance Sheet'!J19&gt;0,'Profit &amp; Loss'!J4/'Balance Sheet'!J19,0)</f>
        <v>4.8168218059594974</v>
      </c>
      <c r="K22" s="5">
        <f>IF('Balance Sheet'!K19&gt;0,'Profit &amp; Loss'!K4/'Balance Sheet'!K19,0)</f>
        <v>4.2350088278125497</v>
      </c>
    </row>
    <row r="23" spans="1:11" s="8" customFormat="1" x14ac:dyDescent="0.25">
      <c r="A23" s="8" t="s">
        <v>59</v>
      </c>
      <c r="B23" s="14">
        <f>IF(SUM('Balance Sheet'!B4:B5)&gt;0,'Profit &amp; Loss'!B12/SUM('Balance Sheet'!B4:B5),"")</f>
        <v>0.2216933944915781</v>
      </c>
      <c r="C23" s="14">
        <f>IF(SUM('Balance Sheet'!C4:C5)&gt;0,'Profit &amp; Loss'!C12/SUM('Balance Sheet'!C4:C5),"")</f>
        <v>0.21464818870118538</v>
      </c>
      <c r="D23" s="14">
        <f>IF(SUM('Balance Sheet'!D4:D5)&gt;0,'Profit &amp; Loss'!D12/SUM('Balance Sheet'!D4:D5),"")</f>
        <v>0.21292094620860327</v>
      </c>
      <c r="E23" s="14">
        <f>IF(SUM('Balance Sheet'!E4:E5)&gt;0,'Profit &amp; Loss'!E12/SUM('Balance Sheet'!E4:E5),"")</f>
        <v>0.23449464604648212</v>
      </c>
      <c r="F23" s="14">
        <f>IF(SUM('Balance Sheet'!F4:F5)&gt;0,'Profit &amp; Loss'!F12/SUM('Balance Sheet'!F4:F5),"")</f>
        <v>0.21809063995198466</v>
      </c>
      <c r="G23" s="11"/>
      <c r="H23" s="11"/>
      <c r="I23" s="11"/>
      <c r="J23" s="11"/>
      <c r="K23" s="11"/>
    </row>
    <row r="24" spans="1:11" s="8" customFormat="1" x14ac:dyDescent="0.25">
      <c r="A24" s="8" t="s">
        <v>60</v>
      </c>
      <c r="B24" s="14"/>
      <c r="C24" s="14">
        <f>IF((B4+B5+B6+C4+C5+C6)&gt;0,('Profit &amp; Loss'!C10+'Profit &amp; Loss'!C9)*2/(B4+B5+B6+C4+C5+C6),"")</f>
        <v>0.35400589143866729</v>
      </c>
      <c r="D24" s="14">
        <f>IF((C4+C5+C6+D4+D5+D6)&gt;0,('Profit &amp; Loss'!D10+'Profit &amp; Loss'!D9)*2/(C4+C5+C6+D4+D5+D6),"")</f>
        <v>0.34415687544012852</v>
      </c>
      <c r="E24" s="14">
        <f>IF((D4+D5+D6+E4+E5+E6)&gt;0,('Profit &amp; Loss'!E10+'Profit &amp; Loss'!E9)*2/(D4+D5+D6+E4+E5+E6),"")</f>
        <v>0.32261652337652486</v>
      </c>
      <c r="F24" s="14">
        <f>IF((E4+E5+E6+F4+F5+F6)&gt;0,('Profit &amp; Loss'!F10+'Profit &amp; Loss'!F9)*2/(E4+E5+E6+F4+F5+F6),"")</f>
        <v>0.28527066262298589</v>
      </c>
      <c r="G24" s="14">
        <f>IF(SUM('Balance Sheet'!G5:G6)&gt;0,'Profit &amp; Loss'!G12/SUM('Balance Sheet'!G5:G6),"")</f>
        <v>0.24405605456807136</v>
      </c>
      <c r="H24" s="14">
        <f>IF(SUM('Balance Sheet'!H5:H6)&gt;0,'Profit &amp; Loss'!H12/SUM('Balance Sheet'!H5:H6),"")</f>
        <v>0.2775155497933201</v>
      </c>
      <c r="I24" s="14">
        <f>IF(SUM('Balance Sheet'!I5:I6)&gt;0,'Profit &amp; Loss'!I12/SUM('Balance Sheet'!I5:I6),"")</f>
        <v>0.27458869636409999</v>
      </c>
      <c r="J24" s="14">
        <f>IF(SUM('Balance Sheet'!J5:J6)&gt;0,'Profit &amp; Loss'!J12/SUM('Balance Sheet'!J5:J6),"")</f>
        <v>0.49616743098141436</v>
      </c>
      <c r="K24" s="14">
        <f>IF(SUM('Balance Sheet'!K5:K6)&gt;0,'Profit &amp; Loss'!K12/SUM('Balance Sheet'!K5:K6),"")</f>
        <v>0.28534326888465023</v>
      </c>
    </row>
    <row r="25" spans="1:11" s="18" customFormat="1" x14ac:dyDescent="0.25">
      <c r="G25" s="14">
        <f>IF((F4+F5+F6+G5+G6+G7)&gt;0,('Profit &amp; Loss'!G10+'Profit &amp; Loss'!G9)*2/(F4+F5+F6+G5+G6+G7),"")</f>
        <v>0.33733252742915004</v>
      </c>
      <c r="H25" s="14">
        <f>IF((G5+G6+G7+H5+H6+H7)&gt;0,('Profit &amp; Loss'!H10+'Profit &amp; Loss'!H9)*2/(G5+G6+G7+H5+H6+H7),"")</f>
        <v>0.39333609298769096</v>
      </c>
      <c r="I25" s="14">
        <f>IF((H5+H6+H7+I5+I6+I7)&gt;0,('Profit &amp; Loss'!I10+'Profit &amp; Loss'!I9)*2/(H5+H6+H7+I5+I6+I7),"")</f>
        <v>0.3742927321936183</v>
      </c>
      <c r="J25" s="14">
        <f>IF((I5+I6+I7+J5+J6+J7)&gt;0,('Profit &amp; Loss'!J10+'Profit &amp; Loss'!J9)*2/(I5+I6+I7+J5+J6+J7),"")</f>
        <v>0.57864605289976878</v>
      </c>
      <c r="K25" s="14">
        <f>IF((J5+J6+J7+K5+K6+K7)&gt;0,('Profit &amp; Loss'!K10+'Profit &amp; Loss'!K9)*2/(J5+J6+J7+K5+K6+K7),"")</f>
        <v>0.38725211479473171</v>
      </c>
    </row>
    <row r="26" spans="1:11" x14ac:dyDescent="0.25">
      <c r="G26" s="18"/>
      <c r="H26" s="18"/>
      <c r="I26" s="18"/>
      <c r="J26" s="18"/>
      <c r="K26" s="18"/>
    </row>
  </sheetData>
  <hyperlinks>
    <hyperlink ref="J1" r:id="rId1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24"/>
  <sheetViews>
    <sheetView zoomScale="150" zoomScaleNormal="150" zoomScalePageLayoutView="150" workbookViewId="0">
      <pane xSplit="1" ySplit="3" topLeftCell="E7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69921875" defaultRowHeight="14.4" x14ac:dyDescent="0.25"/>
  <cols>
    <col min="1" max="1" width="26.69921875" style="6" customWidth="1"/>
    <col min="2" max="11" width="13.3984375" style="6" customWidth="1"/>
    <col min="12" max="16384" width="8.69921875" style="6"/>
  </cols>
  <sheetData>
    <row r="1" spans="1:11" s="8" customFormat="1" ht="13.8" x14ac:dyDescent="0.25">
      <c r="A1" s="8" t="str">
        <f>'Balance Sheet'!A1</f>
        <v>ITC LTD</v>
      </c>
      <c r="E1" t="str">
        <f>UPDATE</f>
        <v/>
      </c>
      <c r="F1"/>
      <c r="J1" s="4" t="s">
        <v>1</v>
      </c>
      <c r="K1" s="4"/>
    </row>
    <row r="3" spans="1:11" s="2" customFormat="1" ht="13.8" x14ac:dyDescent="0.25">
      <c r="A3" s="15" t="s">
        <v>2</v>
      </c>
      <c r="B3" s="16">
        <f>'Data Sheet'!B81</f>
        <v>42825</v>
      </c>
      <c r="C3" s="16">
        <f>'Data Sheet'!C81</f>
        <v>43190</v>
      </c>
      <c r="D3" s="16">
        <f>'Data Sheet'!D81</f>
        <v>43555</v>
      </c>
      <c r="E3" s="16">
        <f>'Data Sheet'!E81</f>
        <v>43921</v>
      </c>
      <c r="F3" s="16">
        <f>'Data Sheet'!F81</f>
        <v>44286</v>
      </c>
      <c r="G3" s="16">
        <f>'Data Sheet'!G81</f>
        <v>44651</v>
      </c>
      <c r="H3" s="16">
        <f>'Data Sheet'!H81</f>
        <v>45016</v>
      </c>
      <c r="I3" s="16">
        <f>'Data Sheet'!I81</f>
        <v>45382</v>
      </c>
      <c r="J3" s="16">
        <f>'Data Sheet'!J81</f>
        <v>45747</v>
      </c>
      <c r="K3" s="16">
        <f>'Data Sheet'!K81</f>
        <v>46112</v>
      </c>
    </row>
    <row r="4" spans="1:11" s="8" customFormat="1" ht="13.8" x14ac:dyDescent="0.25">
      <c r="A4" s="8" t="s">
        <v>32</v>
      </c>
      <c r="B4" s="1">
        <f>'Data Sheet'!B82</f>
        <v>10627.31</v>
      </c>
      <c r="C4" s="1">
        <f>'Data Sheet'!C82</f>
        <v>13169.4</v>
      </c>
      <c r="D4" s="1">
        <f>'Data Sheet'!D82</f>
        <v>12583.41</v>
      </c>
      <c r="E4" s="1">
        <f>'Data Sheet'!E82</f>
        <v>14689.66</v>
      </c>
      <c r="F4" s="1">
        <f>'Data Sheet'!F82</f>
        <v>12526.97</v>
      </c>
      <c r="G4" s="1">
        <f>'Data Sheet'!G82</f>
        <v>15775.51</v>
      </c>
      <c r="H4" s="1">
        <f>'Data Sheet'!H82</f>
        <v>18877.55</v>
      </c>
      <c r="I4" s="1">
        <f>'Data Sheet'!I82</f>
        <v>17178.86</v>
      </c>
      <c r="J4" s="1">
        <f>'Data Sheet'!J82</f>
        <v>17627.04</v>
      </c>
      <c r="K4" s="1">
        <f>'Data Sheet'!K82</f>
        <v>18464.310000000001</v>
      </c>
    </row>
    <row r="5" spans="1:11" ht="13.8" x14ac:dyDescent="0.25">
      <c r="A5" s="6" t="s">
        <v>33</v>
      </c>
      <c r="B5" s="9">
        <f>'Data Sheet'!B83</f>
        <v>-3250.93</v>
      </c>
      <c r="C5" s="9">
        <f>'Data Sheet'!C83</f>
        <v>-7113.89</v>
      </c>
      <c r="D5" s="9">
        <f>'Data Sheet'!D83</f>
        <v>-5545.68</v>
      </c>
      <c r="E5" s="9">
        <f>'Data Sheet'!E83</f>
        <v>-6174.02</v>
      </c>
      <c r="F5" s="9">
        <f>'Data Sheet'!F83</f>
        <v>5739.98</v>
      </c>
      <c r="G5" s="9">
        <f>'Data Sheet'!G83</f>
        <v>-2238.4899999999998</v>
      </c>
      <c r="H5" s="9">
        <f>'Data Sheet'!H83</f>
        <v>-5732.29</v>
      </c>
      <c r="I5" s="9">
        <f>'Data Sheet'!I83</f>
        <v>1562.77</v>
      </c>
      <c r="J5" s="9">
        <f>'Data Sheet'!J83</f>
        <v>-563.84</v>
      </c>
      <c r="K5" s="9">
        <f>'Data Sheet'!K83</f>
        <v>-2320.7399999999998</v>
      </c>
    </row>
    <row r="6" spans="1:11" ht="13.8" x14ac:dyDescent="0.25">
      <c r="A6" s="6" t="s">
        <v>34</v>
      </c>
      <c r="B6" s="9">
        <f>'Data Sheet'!B84</f>
        <v>-7301.03</v>
      </c>
      <c r="C6" s="9">
        <f>'Data Sheet'!C84</f>
        <v>-6221.13</v>
      </c>
      <c r="D6" s="9">
        <f>'Data Sheet'!D84</f>
        <v>-6868.64</v>
      </c>
      <c r="E6" s="9">
        <f>'Data Sheet'!E84</f>
        <v>-8181.48</v>
      </c>
      <c r="F6" s="9">
        <f>'Data Sheet'!F84</f>
        <v>-18633.830000000002</v>
      </c>
      <c r="G6" s="9">
        <f>'Data Sheet'!G84</f>
        <v>-13580.5</v>
      </c>
      <c r="H6" s="9">
        <f>'Data Sheet'!H84</f>
        <v>-13006.03</v>
      </c>
      <c r="I6" s="9">
        <f>'Data Sheet'!I84</f>
        <v>-18550.96</v>
      </c>
      <c r="J6" s="9">
        <f>'Data Sheet'!J84</f>
        <v>-17037.400000000001</v>
      </c>
      <c r="K6" s="9">
        <f>'Data Sheet'!K84</f>
        <v>-16147.12</v>
      </c>
    </row>
    <row r="7" spans="1:11" s="8" customFormat="1" ht="13.8" x14ac:dyDescent="0.25">
      <c r="A7" s="8" t="s">
        <v>35</v>
      </c>
      <c r="B7" s="1">
        <f>'Data Sheet'!B85</f>
        <v>75.349999999999994</v>
      </c>
      <c r="C7" s="1">
        <f>'Data Sheet'!C85</f>
        <v>-165.62</v>
      </c>
      <c r="D7" s="1">
        <f>'Data Sheet'!D85</f>
        <v>169.09</v>
      </c>
      <c r="E7" s="1">
        <f>'Data Sheet'!E85</f>
        <v>334.16</v>
      </c>
      <c r="F7" s="1">
        <f>'Data Sheet'!F85</f>
        <v>-366.88</v>
      </c>
      <c r="G7" s="1">
        <f>'Data Sheet'!G85</f>
        <v>-43.48</v>
      </c>
      <c r="H7" s="1">
        <f>'Data Sheet'!H85</f>
        <v>139.22999999999999</v>
      </c>
      <c r="I7" s="1">
        <f>'Data Sheet'!I85</f>
        <v>190.67</v>
      </c>
      <c r="J7" s="1">
        <f>'Data Sheet'!J85</f>
        <v>25.8</v>
      </c>
      <c r="K7" s="1">
        <f>'Data Sheet'!K85</f>
        <v>-3.55</v>
      </c>
    </row>
    <row r="8" spans="1:11" ht="13.8" x14ac:dyDescent="0.25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ht="13.8" x14ac:dyDescent="0.25"/>
  </sheetData>
  <hyperlinks>
    <hyperlink ref="J1" r:id="rId1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69921875" defaultRowHeight="13.8" x14ac:dyDescent="0.25"/>
  <cols>
    <col min="1" max="1" width="8.69921875" style="8"/>
    <col min="2" max="2" width="10.3984375" style="11" customWidth="1"/>
    <col min="3" max="3" width="13.296875" style="26" customWidth="1"/>
    <col min="4" max="5" width="8.69921875" style="11"/>
    <col min="6" max="6" width="6.69921875" style="11" customWidth="1"/>
    <col min="7" max="16384" width="8.69921875" style="11"/>
  </cols>
  <sheetData>
    <row r="1" spans="1:7" ht="20.399999999999999" x14ac:dyDescent="0.35">
      <c r="A1" s="25" t="s">
        <v>56</v>
      </c>
    </row>
    <row r="3" spans="1:7" x14ac:dyDescent="0.25">
      <c r="A3" s="8" t="s">
        <v>48</v>
      </c>
    </row>
    <row r="4" spans="1:7" x14ac:dyDescent="0.25">
      <c r="B4" s="11" t="s">
        <v>90</v>
      </c>
    </row>
    <row r="5" spans="1:7" x14ac:dyDescent="0.25">
      <c r="B5" s="11" t="s">
        <v>49</v>
      </c>
    </row>
    <row r="7" spans="1:7" x14ac:dyDescent="0.25">
      <c r="A7" s="8" t="s">
        <v>50</v>
      </c>
    </row>
    <row r="8" spans="1:7" ht="14.4" x14ac:dyDescent="0.3">
      <c r="B8" s="11" t="s">
        <v>51</v>
      </c>
      <c r="C8" s="27" t="s">
        <v>91</v>
      </c>
    </row>
    <row r="10" spans="1:7" x14ac:dyDescent="0.25">
      <c r="A10" s="8" t="s">
        <v>52</v>
      </c>
    </row>
    <row r="11" spans="1:7" x14ac:dyDescent="0.25">
      <c r="B11" s="11" t="s">
        <v>53</v>
      </c>
    </row>
    <row r="14" spans="1:7" x14ac:dyDescent="0.25">
      <c r="A14" s="8" t="s">
        <v>54</v>
      </c>
    </row>
    <row r="15" spans="1:7" x14ac:dyDescent="0.25">
      <c r="B15" s="11" t="s">
        <v>55</v>
      </c>
    </row>
    <row r="16" spans="1:7" ht="14.4" x14ac:dyDescent="0.3">
      <c r="B16" s="11" t="s">
        <v>92</v>
      </c>
      <c r="G16" s="28"/>
    </row>
  </sheetData>
  <hyperlinks>
    <hyperlink ref="C8" r:id="rId1" display=" http://www.screener.in/excel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zoomScale="120" zoomScaleNormal="120" zoomScalePageLayoutView="120" workbookViewId="0">
      <pane xSplit="1" ySplit="1" topLeftCell="E53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69921875" defaultRowHeight="14.4" x14ac:dyDescent="0.25"/>
  <cols>
    <col min="1" max="1" width="27.59765625" style="5" customWidth="1"/>
    <col min="2" max="11" width="13.3984375" style="5" customWidth="1"/>
    <col min="12" max="16384" width="8.69921875" style="5"/>
  </cols>
  <sheetData>
    <row r="1" spans="1:11" s="1" customFormat="1" x14ac:dyDescent="0.3">
      <c r="A1" s="1" t="s">
        <v>0</v>
      </c>
      <c r="B1" s="1" t="s">
        <v>63</v>
      </c>
      <c r="E1" s="84" t="str">
        <f>IF(B2&lt;&gt;B3, "A NEW VERSION OF THE WORKSHEET IS AVAILABLE", "")</f>
        <v/>
      </c>
      <c r="F1" s="84"/>
      <c r="G1" s="84"/>
      <c r="H1" s="84"/>
      <c r="I1" s="84"/>
      <c r="J1" s="84"/>
      <c r="K1" s="84"/>
    </row>
    <row r="2" spans="1:11" ht="13.8" x14ac:dyDescent="0.25">
      <c r="A2" s="1" t="s">
        <v>61</v>
      </c>
      <c r="B2" s="5">
        <v>2.1</v>
      </c>
      <c r="E2" s="85" t="s">
        <v>36</v>
      </c>
      <c r="F2" s="85"/>
      <c r="G2" s="85"/>
      <c r="H2" s="85"/>
      <c r="I2" s="85"/>
      <c r="J2" s="85"/>
      <c r="K2" s="85"/>
    </row>
    <row r="3" spans="1:11" ht="13.8" x14ac:dyDescent="0.25">
      <c r="A3" s="1" t="s">
        <v>62</v>
      </c>
      <c r="B3" s="5">
        <v>2.1</v>
      </c>
    </row>
    <row r="4" spans="1:11" ht="13.8" x14ac:dyDescent="0.25">
      <c r="A4" s="1"/>
    </row>
    <row r="5" spans="1:11" ht="13.8" x14ac:dyDescent="0.25">
      <c r="A5" s="1" t="s">
        <v>64</v>
      </c>
    </row>
    <row r="6" spans="1:11" ht="13.8" x14ac:dyDescent="0.25">
      <c r="A6" s="5" t="s">
        <v>42</v>
      </c>
      <c r="B6" s="5">
        <f>IF(B9&gt;0, B9/B8, 0)</f>
        <v>1252.9465981148244</v>
      </c>
    </row>
    <row r="7" spans="1:11" ht="13.8" x14ac:dyDescent="0.25">
      <c r="A7" s="5" t="s">
        <v>31</v>
      </c>
      <c r="B7">
        <v>1</v>
      </c>
    </row>
    <row r="8" spans="1:11" ht="13.8" x14ac:dyDescent="0.25">
      <c r="A8" s="5" t="s">
        <v>43</v>
      </c>
      <c r="B8">
        <v>291.75</v>
      </c>
    </row>
    <row r="9" spans="1:11" ht="13.8" x14ac:dyDescent="0.25">
      <c r="A9" s="5" t="s">
        <v>79</v>
      </c>
      <c r="B9">
        <v>365547.17</v>
      </c>
    </row>
    <row r="15" spans="1:11" ht="13.8" x14ac:dyDescent="0.25">
      <c r="A15" s="1" t="s">
        <v>37</v>
      </c>
    </row>
    <row r="16" spans="1:11" s="24" customFormat="1" ht="13.8" x14ac:dyDescent="0.25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ht="13.8" x14ac:dyDescent="0.25">
      <c r="A17" s="9" t="s">
        <v>6</v>
      </c>
      <c r="B17">
        <v>42767.6</v>
      </c>
      <c r="C17">
        <v>43448.94</v>
      </c>
      <c r="D17">
        <v>48339.58</v>
      </c>
      <c r="E17">
        <v>49387.7</v>
      </c>
      <c r="F17">
        <v>49257.45</v>
      </c>
      <c r="G17">
        <v>60644.54</v>
      </c>
      <c r="H17">
        <v>70919.03</v>
      </c>
      <c r="I17">
        <v>67931.94</v>
      </c>
      <c r="J17">
        <v>75323.34</v>
      </c>
      <c r="K17">
        <v>78868.399999999994</v>
      </c>
    </row>
    <row r="18" spans="1:11" s="9" customFormat="1" ht="13.8" x14ac:dyDescent="0.25">
      <c r="A18" s="5" t="s">
        <v>80</v>
      </c>
      <c r="B18">
        <v>15456.59</v>
      </c>
      <c r="C18">
        <v>14827.72</v>
      </c>
      <c r="D18">
        <v>17623.52</v>
      </c>
      <c r="E18">
        <v>18048.599999999999</v>
      </c>
      <c r="F18">
        <v>20776.71</v>
      </c>
      <c r="G18">
        <v>27071.07</v>
      </c>
      <c r="H18">
        <v>29364.36</v>
      </c>
      <c r="I18">
        <v>27348.57</v>
      </c>
      <c r="J18">
        <v>32704.37</v>
      </c>
      <c r="K18">
        <v>35098.339999999997</v>
      </c>
    </row>
    <row r="19" spans="1:11" s="9" customFormat="1" ht="13.8" x14ac:dyDescent="0.25">
      <c r="A19" s="5" t="s">
        <v>81</v>
      </c>
      <c r="B19">
        <v>-592.57000000000005</v>
      </c>
      <c r="C19">
        <v>-1027.76</v>
      </c>
      <c r="D19">
        <v>203.19</v>
      </c>
      <c r="E19">
        <v>703.13</v>
      </c>
      <c r="F19">
        <v>645.27</v>
      </c>
      <c r="G19">
        <v>686</v>
      </c>
      <c r="H19">
        <v>358.59</v>
      </c>
      <c r="I19">
        <v>367.77</v>
      </c>
      <c r="J19">
        <v>725.65</v>
      </c>
      <c r="K19">
        <v>2550.46</v>
      </c>
    </row>
    <row r="20" spans="1:11" s="9" customFormat="1" ht="13.8" x14ac:dyDescent="0.25">
      <c r="A20" s="5" t="s">
        <v>82</v>
      </c>
      <c r="B20">
        <v>584.33000000000004</v>
      </c>
      <c r="C20">
        <v>653.5</v>
      </c>
      <c r="D20">
        <v>746.73</v>
      </c>
      <c r="E20">
        <v>780.85</v>
      </c>
      <c r="F20">
        <v>699.56</v>
      </c>
      <c r="G20">
        <v>889.77</v>
      </c>
      <c r="H20">
        <v>1232.3399999999999</v>
      </c>
      <c r="I20">
        <v>952.9</v>
      </c>
      <c r="J20">
        <v>975.35</v>
      </c>
    </row>
    <row r="21" spans="1:11" s="9" customFormat="1" ht="13.8" x14ac:dyDescent="0.25">
      <c r="A21" s="5" t="s">
        <v>83</v>
      </c>
      <c r="B21">
        <v>1683.9</v>
      </c>
      <c r="C21">
        <v>1697.62</v>
      </c>
      <c r="D21">
        <v>1871.01</v>
      </c>
      <c r="E21">
        <v>1908.29</v>
      </c>
      <c r="F21">
        <v>1587.18</v>
      </c>
      <c r="G21">
        <v>1887.67</v>
      </c>
      <c r="H21">
        <v>2327.8000000000002</v>
      </c>
      <c r="I21">
        <v>2183.7600000000002</v>
      </c>
      <c r="J21">
        <v>2345.36</v>
      </c>
    </row>
    <row r="22" spans="1:11" s="9" customFormat="1" ht="13.8" x14ac:dyDescent="0.25">
      <c r="A22" s="5" t="s">
        <v>84</v>
      </c>
      <c r="B22">
        <v>3631.73</v>
      </c>
      <c r="C22">
        <v>3760.9</v>
      </c>
      <c r="D22">
        <v>4177.88</v>
      </c>
      <c r="E22">
        <v>4295.79</v>
      </c>
      <c r="F22">
        <v>4463.33</v>
      </c>
      <c r="G22">
        <v>4890.55</v>
      </c>
      <c r="H22">
        <v>5736.22</v>
      </c>
      <c r="I22">
        <v>5548.53</v>
      </c>
      <c r="J22">
        <v>6169.78</v>
      </c>
      <c r="K22">
        <v>6781.5</v>
      </c>
    </row>
    <row r="23" spans="1:11" s="9" customFormat="1" ht="13.8" x14ac:dyDescent="0.25">
      <c r="A23" s="5" t="s">
        <v>85</v>
      </c>
      <c r="B23">
        <v>4179.74</v>
      </c>
      <c r="C23">
        <v>3954.87</v>
      </c>
      <c r="D23">
        <v>4546.3900000000003</v>
      </c>
      <c r="E23">
        <v>4488.63</v>
      </c>
      <c r="F23">
        <v>4236.7700000000004</v>
      </c>
      <c r="G23">
        <v>4858.38</v>
      </c>
      <c r="H23">
        <v>5604.08</v>
      </c>
      <c r="I23">
        <v>5312.45</v>
      </c>
      <c r="J23">
        <v>5793.29</v>
      </c>
    </row>
    <row r="24" spans="1:11" s="9" customFormat="1" ht="13.8" x14ac:dyDescent="0.25">
      <c r="A24" s="5" t="s">
        <v>86</v>
      </c>
      <c r="B24">
        <v>1169.23</v>
      </c>
      <c r="C24">
        <v>1005.98</v>
      </c>
      <c r="D24">
        <v>1039.8499999999999</v>
      </c>
      <c r="E24">
        <v>1225.1300000000001</v>
      </c>
      <c r="F24">
        <v>1074.3900000000001</v>
      </c>
      <c r="G24">
        <v>1109.95</v>
      </c>
      <c r="H24">
        <v>1308.56</v>
      </c>
      <c r="I24">
        <v>1765.97</v>
      </c>
      <c r="J24">
        <v>2221.39</v>
      </c>
      <c r="K24">
        <v>12221.11</v>
      </c>
    </row>
    <row r="25" spans="1:11" s="9" customFormat="1" ht="13.8" x14ac:dyDescent="0.25">
      <c r="A25" s="9" t="s">
        <v>9</v>
      </c>
      <c r="B25">
        <v>1758.63</v>
      </c>
      <c r="C25">
        <v>2239.81</v>
      </c>
      <c r="D25">
        <v>2080.44</v>
      </c>
      <c r="E25">
        <v>2417.3200000000002</v>
      </c>
      <c r="F25">
        <v>2576.9499999999998</v>
      </c>
      <c r="G25">
        <v>1909.72</v>
      </c>
      <c r="H25">
        <v>2097.64</v>
      </c>
      <c r="I25">
        <v>3330.45</v>
      </c>
      <c r="J25">
        <v>17794.88</v>
      </c>
      <c r="K25">
        <v>2511.1799999999998</v>
      </c>
    </row>
    <row r="26" spans="1:11" s="9" customFormat="1" ht="13.8" x14ac:dyDescent="0.25">
      <c r="A26" s="9" t="s">
        <v>10</v>
      </c>
      <c r="B26">
        <v>1152.79</v>
      </c>
      <c r="C26">
        <v>1236.28</v>
      </c>
      <c r="D26">
        <v>1396.61</v>
      </c>
      <c r="E26">
        <v>1644.91</v>
      </c>
      <c r="F26">
        <v>1645.59</v>
      </c>
      <c r="G26">
        <v>1732.41</v>
      </c>
      <c r="H26">
        <v>1809.01</v>
      </c>
      <c r="I26">
        <v>1518.05</v>
      </c>
      <c r="J26">
        <v>1646.32</v>
      </c>
      <c r="K26">
        <v>1710.53</v>
      </c>
    </row>
    <row r="27" spans="1:11" s="9" customFormat="1" ht="13.8" x14ac:dyDescent="0.25">
      <c r="A27" s="9" t="s">
        <v>11</v>
      </c>
      <c r="B27">
        <v>49.03</v>
      </c>
      <c r="C27">
        <v>115.01</v>
      </c>
      <c r="D27">
        <v>71.400000000000006</v>
      </c>
      <c r="E27">
        <v>81.38</v>
      </c>
      <c r="F27">
        <v>57.97</v>
      </c>
      <c r="G27">
        <v>59.99</v>
      </c>
      <c r="H27">
        <v>77.77</v>
      </c>
      <c r="I27">
        <v>39.11</v>
      </c>
      <c r="J27">
        <v>45.06</v>
      </c>
      <c r="K27">
        <v>85.17</v>
      </c>
    </row>
    <row r="28" spans="1:11" s="9" customFormat="1" ht="13.8" x14ac:dyDescent="0.25">
      <c r="A28" s="9" t="s">
        <v>12</v>
      </c>
      <c r="B28">
        <v>16026.32</v>
      </c>
      <c r="C28">
        <v>17409.11</v>
      </c>
      <c r="D28">
        <v>19149.82</v>
      </c>
      <c r="E28">
        <v>20034.57</v>
      </c>
      <c r="F28">
        <v>17938.169999999998</v>
      </c>
      <c r="G28">
        <v>20740.47</v>
      </c>
      <c r="H28">
        <v>25915.119999999999</v>
      </c>
      <c r="I28">
        <v>26960.82</v>
      </c>
      <c r="J28">
        <v>41942.949999999997</v>
      </c>
      <c r="K28">
        <v>28033.39</v>
      </c>
    </row>
    <row r="29" spans="1:11" s="9" customFormat="1" ht="13.8" x14ac:dyDescent="0.25">
      <c r="A29" s="9" t="s">
        <v>13</v>
      </c>
      <c r="B29">
        <v>5549.09</v>
      </c>
      <c r="C29">
        <v>5916.43</v>
      </c>
      <c r="D29">
        <v>6313.92</v>
      </c>
      <c r="E29">
        <v>4441.79</v>
      </c>
      <c r="F29">
        <v>4555.29</v>
      </c>
      <c r="G29">
        <v>5237.34</v>
      </c>
      <c r="H29">
        <v>6438.4</v>
      </c>
      <c r="I29">
        <v>6209.46</v>
      </c>
      <c r="J29">
        <v>6890.47</v>
      </c>
      <c r="K29">
        <v>7015.24</v>
      </c>
    </row>
    <row r="30" spans="1:11" s="9" customFormat="1" ht="13.8" x14ac:dyDescent="0.25">
      <c r="A30" s="9" t="s">
        <v>14</v>
      </c>
      <c r="B30">
        <v>10289.44</v>
      </c>
      <c r="C30">
        <v>11271.2</v>
      </c>
      <c r="D30">
        <v>12592.33</v>
      </c>
      <c r="E30">
        <v>15306.23</v>
      </c>
      <c r="F30">
        <v>13161.19</v>
      </c>
      <c r="G30">
        <v>15242.66</v>
      </c>
      <c r="H30">
        <v>19191.66</v>
      </c>
      <c r="I30">
        <v>20458.78</v>
      </c>
      <c r="J30">
        <v>34746.629999999997</v>
      </c>
      <c r="K30">
        <v>20689.47</v>
      </c>
    </row>
    <row r="31" spans="1:11" s="9" customFormat="1" ht="13.8" x14ac:dyDescent="0.25">
      <c r="A31" s="9" t="s">
        <v>70</v>
      </c>
      <c r="B31">
        <v>5770.02</v>
      </c>
      <c r="C31">
        <v>6285.21</v>
      </c>
      <c r="D31">
        <v>7048.7</v>
      </c>
      <c r="E31">
        <v>12476.58</v>
      </c>
      <c r="F31">
        <v>13231.96</v>
      </c>
      <c r="G31">
        <v>14171.8</v>
      </c>
      <c r="H31">
        <v>19263.400000000001</v>
      </c>
      <c r="I31">
        <v>17166.46</v>
      </c>
      <c r="J31">
        <v>17957.73</v>
      </c>
      <c r="K31">
        <v>18167.78</v>
      </c>
    </row>
    <row r="32" spans="1:11" s="9" customFormat="1" ht="13.8" x14ac:dyDescent="0.25"/>
    <row r="33" spans="1:11" ht="13.8" x14ac:dyDescent="0.25">
      <c r="A33" s="9"/>
    </row>
    <row r="34" spans="1:11" ht="13.8" x14ac:dyDescent="0.25">
      <c r="A34" s="9"/>
    </row>
    <row r="35" spans="1:11" ht="13.8" x14ac:dyDescent="0.25">
      <c r="A35" s="9"/>
    </row>
    <row r="36" spans="1:11" ht="13.8" x14ac:dyDescent="0.25">
      <c r="A36" s="9"/>
    </row>
    <row r="37" spans="1:11" ht="13.8" x14ac:dyDescent="0.25">
      <c r="A37" s="9"/>
    </row>
    <row r="38" spans="1:11" ht="13.8" x14ac:dyDescent="0.25">
      <c r="A38" s="9"/>
    </row>
    <row r="39" spans="1:11" ht="13.8" x14ac:dyDescent="0.25">
      <c r="A39" s="9"/>
    </row>
    <row r="40" spans="1:11" ht="13.8" x14ac:dyDescent="0.25">
      <c r="A40" s="1" t="s">
        <v>39</v>
      </c>
    </row>
    <row r="41" spans="1:11" s="24" customFormat="1" ht="13.8" x14ac:dyDescent="0.25">
      <c r="A41" s="23" t="s">
        <v>38</v>
      </c>
      <c r="B41" s="16">
        <v>45291</v>
      </c>
      <c r="C41" s="16">
        <v>45382</v>
      </c>
      <c r="D41" s="16">
        <v>45473</v>
      </c>
      <c r="E41" s="16">
        <v>45565</v>
      </c>
      <c r="F41" s="16">
        <v>45657</v>
      </c>
      <c r="G41" s="16">
        <v>45747</v>
      </c>
      <c r="H41" s="16">
        <v>45838</v>
      </c>
      <c r="I41" s="16">
        <v>45930</v>
      </c>
      <c r="J41" s="16">
        <v>46022</v>
      </c>
      <c r="K41" s="16">
        <v>46112</v>
      </c>
    </row>
    <row r="42" spans="1:11" s="9" customFormat="1" ht="13.8" x14ac:dyDescent="0.25">
      <c r="A42" s="9" t="s">
        <v>6</v>
      </c>
      <c r="B42">
        <v>17195.240000000002</v>
      </c>
      <c r="C42">
        <v>17037.8</v>
      </c>
      <c r="D42">
        <v>17777.810000000001</v>
      </c>
      <c r="E42">
        <v>19990.36</v>
      </c>
      <c r="F42">
        <v>18790.169999999998</v>
      </c>
      <c r="G42">
        <v>18765</v>
      </c>
      <c r="H42">
        <v>21494.79</v>
      </c>
      <c r="I42">
        <v>19501.63</v>
      </c>
      <c r="J42">
        <v>20047.3</v>
      </c>
      <c r="K42">
        <v>17824.68</v>
      </c>
    </row>
    <row r="43" spans="1:11" s="9" customFormat="1" ht="13.8" x14ac:dyDescent="0.25">
      <c r="A43" s="9" t="s">
        <v>7</v>
      </c>
      <c r="B43">
        <v>10985.01</v>
      </c>
      <c r="C43">
        <v>10735.73</v>
      </c>
      <c r="D43">
        <v>11232.97</v>
      </c>
      <c r="E43">
        <v>13438.28</v>
      </c>
      <c r="F43">
        <v>12428.27</v>
      </c>
      <c r="G43">
        <v>12245.61</v>
      </c>
      <c r="H43">
        <v>14678.32</v>
      </c>
      <c r="I43">
        <v>12806.94</v>
      </c>
      <c r="J43">
        <v>13164.78</v>
      </c>
      <c r="K43">
        <v>10900.45</v>
      </c>
    </row>
    <row r="44" spans="1:11" s="9" customFormat="1" ht="13.8" x14ac:dyDescent="0.25">
      <c r="A44" s="9" t="s">
        <v>9</v>
      </c>
      <c r="B44">
        <v>820.26</v>
      </c>
      <c r="C44">
        <v>868</v>
      </c>
      <c r="D44">
        <v>771.13</v>
      </c>
      <c r="E44">
        <v>690.31</v>
      </c>
      <c r="F44">
        <v>803.4</v>
      </c>
      <c r="G44">
        <v>15391.28</v>
      </c>
      <c r="H44">
        <v>750.97</v>
      </c>
      <c r="I44">
        <v>738.84</v>
      </c>
      <c r="J44">
        <v>321.85000000000002</v>
      </c>
      <c r="K44">
        <v>699.52</v>
      </c>
    </row>
    <row r="45" spans="1:11" s="9" customFormat="1" ht="13.8" x14ac:dyDescent="0.25">
      <c r="A45" s="9" t="s">
        <v>10</v>
      </c>
      <c r="B45">
        <v>384.04</v>
      </c>
      <c r="C45">
        <v>385.09</v>
      </c>
      <c r="D45">
        <v>403.13</v>
      </c>
      <c r="E45">
        <v>416.18</v>
      </c>
      <c r="F45">
        <v>415.98</v>
      </c>
      <c r="G45">
        <v>411.03</v>
      </c>
      <c r="H45">
        <v>422.96</v>
      </c>
      <c r="I45">
        <v>434.8</v>
      </c>
      <c r="J45">
        <v>430.82</v>
      </c>
      <c r="K45">
        <v>421.95</v>
      </c>
    </row>
    <row r="46" spans="1:11" s="9" customFormat="1" ht="13.8" x14ac:dyDescent="0.25">
      <c r="A46" s="9" t="s">
        <v>11</v>
      </c>
      <c r="B46">
        <v>11.94</v>
      </c>
      <c r="C46">
        <v>10.72</v>
      </c>
      <c r="D46">
        <v>9.6</v>
      </c>
      <c r="E46">
        <v>14.73</v>
      </c>
      <c r="F46">
        <v>9.82</v>
      </c>
      <c r="G46">
        <v>10.91</v>
      </c>
      <c r="H46">
        <v>16.47</v>
      </c>
      <c r="I46">
        <v>20.05</v>
      </c>
      <c r="J46">
        <v>19.47</v>
      </c>
      <c r="K46">
        <v>29.18</v>
      </c>
    </row>
    <row r="47" spans="1:11" s="9" customFormat="1" ht="13.8" x14ac:dyDescent="0.25">
      <c r="A47" s="9" t="s">
        <v>12</v>
      </c>
      <c r="B47">
        <v>6634.51</v>
      </c>
      <c r="C47">
        <v>6774.26</v>
      </c>
      <c r="D47">
        <v>6903.24</v>
      </c>
      <c r="E47">
        <v>6811.48</v>
      </c>
      <c r="F47">
        <v>6739.5</v>
      </c>
      <c r="G47">
        <v>21488.73</v>
      </c>
      <c r="H47">
        <v>7128.01</v>
      </c>
      <c r="I47">
        <v>6978.68</v>
      </c>
      <c r="J47">
        <v>6754.08</v>
      </c>
      <c r="K47">
        <v>7172.62</v>
      </c>
    </row>
    <row r="48" spans="1:11" s="9" customFormat="1" ht="13.8" x14ac:dyDescent="0.25">
      <c r="A48" s="9" t="s">
        <v>13</v>
      </c>
      <c r="B48">
        <v>1227.99</v>
      </c>
      <c r="C48">
        <v>1583.55</v>
      </c>
      <c r="D48">
        <v>1726.25</v>
      </c>
      <c r="E48">
        <v>1757.05</v>
      </c>
      <c r="F48">
        <v>1726.32</v>
      </c>
      <c r="G48">
        <v>1680.85</v>
      </c>
      <c r="H48">
        <v>1784.6</v>
      </c>
      <c r="I48">
        <v>1792.13</v>
      </c>
      <c r="J48">
        <v>1735.63</v>
      </c>
      <c r="K48">
        <v>1702.88</v>
      </c>
    </row>
    <row r="49" spans="1:11" s="9" customFormat="1" ht="13.8" x14ac:dyDescent="0.25">
      <c r="A49" s="9" t="s">
        <v>14</v>
      </c>
      <c r="B49">
        <v>5335.23</v>
      </c>
      <c r="C49">
        <v>5120.55</v>
      </c>
      <c r="D49">
        <v>5091.59</v>
      </c>
      <c r="E49">
        <v>4992.87</v>
      </c>
      <c r="F49">
        <v>4934.8</v>
      </c>
      <c r="G49">
        <v>19727.37</v>
      </c>
      <c r="H49">
        <v>5244.2</v>
      </c>
      <c r="I49">
        <v>5126.1099999999997</v>
      </c>
      <c r="J49">
        <v>4931.1899999999996</v>
      </c>
      <c r="K49">
        <v>5387.97</v>
      </c>
    </row>
    <row r="50" spans="1:11" ht="13.8" x14ac:dyDescent="0.25">
      <c r="A50" s="9" t="s">
        <v>8</v>
      </c>
      <c r="B50">
        <v>6210.23</v>
      </c>
      <c r="C50">
        <v>6302.07</v>
      </c>
      <c r="D50">
        <v>6544.84</v>
      </c>
      <c r="E50">
        <v>6552.08</v>
      </c>
      <c r="F50">
        <v>6361.9</v>
      </c>
      <c r="G50">
        <v>6519.39</v>
      </c>
      <c r="H50">
        <v>6816.47</v>
      </c>
      <c r="I50">
        <v>6694.69</v>
      </c>
      <c r="J50">
        <v>6882.52</v>
      </c>
      <c r="K50">
        <v>6924.23</v>
      </c>
    </row>
    <row r="51" spans="1:11" ht="13.8" x14ac:dyDescent="0.25">
      <c r="A51" s="9"/>
    </row>
    <row r="52" spans="1:11" ht="13.8" x14ac:dyDescent="0.25">
      <c r="A52" s="9"/>
    </row>
    <row r="53" spans="1:11" ht="13.8" x14ac:dyDescent="0.25">
      <c r="A53" s="9"/>
    </row>
    <row r="54" spans="1:11" ht="13.8" x14ac:dyDescent="0.25">
      <c r="A54" s="9"/>
    </row>
    <row r="55" spans="1:11" ht="13.8" x14ac:dyDescent="0.25">
      <c r="A55" s="1" t="s">
        <v>40</v>
      </c>
    </row>
    <row r="56" spans="1:11" s="24" customFormat="1" ht="13.8" x14ac:dyDescent="0.25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ht="13.8" x14ac:dyDescent="0.25">
      <c r="A57" s="9" t="s">
        <v>24</v>
      </c>
      <c r="B57">
        <v>1214.74</v>
      </c>
      <c r="C57">
        <v>1220.43</v>
      </c>
      <c r="D57">
        <v>1225.8599999999999</v>
      </c>
      <c r="E57">
        <v>1229.22</v>
      </c>
      <c r="F57">
        <v>1230.8800000000001</v>
      </c>
      <c r="G57">
        <v>1232.33</v>
      </c>
      <c r="H57">
        <v>1242.8</v>
      </c>
      <c r="I57">
        <v>1248.47</v>
      </c>
      <c r="J57">
        <v>1251.4100000000001</v>
      </c>
      <c r="K57">
        <v>1252.95</v>
      </c>
    </row>
    <row r="58" spans="1:11" ht="13.8" x14ac:dyDescent="0.25">
      <c r="A58" s="9" t="s">
        <v>25</v>
      </c>
      <c r="B58">
        <v>45198.19</v>
      </c>
      <c r="C58">
        <v>51289.68</v>
      </c>
      <c r="D58">
        <v>57915.01</v>
      </c>
      <c r="E58">
        <v>64044.04</v>
      </c>
      <c r="F58">
        <v>59116.46</v>
      </c>
      <c r="G58">
        <v>61223.24</v>
      </c>
      <c r="H58">
        <v>67912.460000000006</v>
      </c>
      <c r="I58">
        <v>73258.53</v>
      </c>
      <c r="J58">
        <v>68778.64</v>
      </c>
      <c r="K58">
        <v>71254.350000000006</v>
      </c>
    </row>
    <row r="59" spans="1:11" ht="13.8" x14ac:dyDescent="0.25">
      <c r="A59" s="9" t="s">
        <v>71</v>
      </c>
      <c r="B59">
        <v>45.72</v>
      </c>
      <c r="C59">
        <v>35.92</v>
      </c>
      <c r="D59">
        <v>13.44</v>
      </c>
      <c r="E59">
        <v>277.45</v>
      </c>
      <c r="F59">
        <v>270.83</v>
      </c>
      <c r="G59">
        <v>249.44</v>
      </c>
      <c r="H59">
        <v>306.04000000000002</v>
      </c>
      <c r="I59">
        <v>303.43</v>
      </c>
      <c r="J59">
        <v>284.54000000000002</v>
      </c>
      <c r="K59">
        <v>2399.06</v>
      </c>
    </row>
    <row r="60" spans="1:11" ht="13.8" x14ac:dyDescent="0.25">
      <c r="A60" s="9" t="s">
        <v>72</v>
      </c>
      <c r="B60">
        <v>9439.67</v>
      </c>
      <c r="C60">
        <v>11694.85</v>
      </c>
      <c r="D60">
        <v>12584.73</v>
      </c>
      <c r="E60">
        <v>11760.04</v>
      </c>
      <c r="F60">
        <v>13142.59</v>
      </c>
      <c r="G60">
        <v>14491.01</v>
      </c>
      <c r="H60">
        <v>16369.66</v>
      </c>
      <c r="I60">
        <v>16943.54</v>
      </c>
      <c r="J60">
        <v>17688.11</v>
      </c>
      <c r="K60">
        <v>18886.02</v>
      </c>
    </row>
    <row r="61" spans="1:11" s="1" customFormat="1" ht="13.8" x14ac:dyDescent="0.25">
      <c r="A61" s="1" t="s">
        <v>26</v>
      </c>
      <c r="B61">
        <v>55898.32</v>
      </c>
      <c r="C61">
        <v>64240.88</v>
      </c>
      <c r="D61">
        <v>71739.039999999994</v>
      </c>
      <c r="E61">
        <v>77310.75</v>
      </c>
      <c r="F61">
        <v>73760.759999999995</v>
      </c>
      <c r="G61">
        <v>77196.02</v>
      </c>
      <c r="H61">
        <v>85830.96</v>
      </c>
      <c r="I61">
        <v>91753.97</v>
      </c>
      <c r="J61">
        <v>88002.7</v>
      </c>
      <c r="K61">
        <v>93792.38</v>
      </c>
    </row>
    <row r="62" spans="1:11" ht="13.8" x14ac:dyDescent="0.25">
      <c r="A62" s="9" t="s">
        <v>27</v>
      </c>
      <c r="B62">
        <v>15893.48</v>
      </c>
      <c r="C62">
        <v>16523.96</v>
      </c>
      <c r="D62">
        <v>19374.189999999999</v>
      </c>
      <c r="E62">
        <v>21713.34</v>
      </c>
      <c r="F62">
        <v>23298.48</v>
      </c>
      <c r="G62">
        <v>24231.59</v>
      </c>
      <c r="H62">
        <v>25851.27</v>
      </c>
      <c r="I62">
        <v>27820.22</v>
      </c>
      <c r="J62">
        <v>21954.85</v>
      </c>
      <c r="K62">
        <v>22545</v>
      </c>
    </row>
    <row r="63" spans="1:11" ht="13.8" x14ac:dyDescent="0.25">
      <c r="A63" s="9" t="s">
        <v>28</v>
      </c>
      <c r="B63">
        <v>3729.89</v>
      </c>
      <c r="C63">
        <v>5508.33</v>
      </c>
      <c r="D63">
        <v>4136.42</v>
      </c>
      <c r="E63">
        <v>3256.46</v>
      </c>
      <c r="F63">
        <v>4011.29</v>
      </c>
      <c r="G63">
        <v>3225.54</v>
      </c>
      <c r="H63">
        <v>3003.3</v>
      </c>
      <c r="I63">
        <v>2860.78</v>
      </c>
      <c r="J63">
        <v>1090.9100000000001</v>
      </c>
      <c r="K63">
        <v>1499.41</v>
      </c>
    </row>
    <row r="64" spans="1:11" ht="13.8" x14ac:dyDescent="0.25">
      <c r="A64" s="9" t="s">
        <v>29</v>
      </c>
      <c r="B64">
        <v>17581.38</v>
      </c>
      <c r="C64">
        <v>22052.86</v>
      </c>
      <c r="D64">
        <v>25043.49</v>
      </c>
      <c r="E64">
        <v>28663.35</v>
      </c>
      <c r="F64">
        <v>24870.87</v>
      </c>
      <c r="G64">
        <v>24841.01</v>
      </c>
      <c r="H64">
        <v>29415.02</v>
      </c>
      <c r="I64">
        <v>31114.02</v>
      </c>
      <c r="J64">
        <v>34719.82</v>
      </c>
      <c r="K64">
        <v>38128.43</v>
      </c>
    </row>
    <row r="65" spans="1:11" ht="13.8" x14ac:dyDescent="0.25">
      <c r="A65" s="9" t="s">
        <v>73</v>
      </c>
      <c r="B65">
        <v>18693.57</v>
      </c>
      <c r="C65">
        <v>20155.73</v>
      </c>
      <c r="D65">
        <v>23184.94</v>
      </c>
      <c r="E65">
        <v>23677.599999999999</v>
      </c>
      <c r="F65">
        <v>21580.12</v>
      </c>
      <c r="G65">
        <v>24897.88</v>
      </c>
      <c r="H65">
        <v>27561.37</v>
      </c>
      <c r="I65">
        <v>29958.95</v>
      </c>
      <c r="J65">
        <v>30237.119999999999</v>
      </c>
      <c r="K65">
        <v>31619.54</v>
      </c>
    </row>
    <row r="66" spans="1:11" s="1" customFormat="1" ht="13.8" x14ac:dyDescent="0.25">
      <c r="A66" s="1" t="s">
        <v>26</v>
      </c>
      <c r="B66">
        <v>55898.32</v>
      </c>
      <c r="C66">
        <v>64240.88</v>
      </c>
      <c r="D66">
        <v>71739.039999999994</v>
      </c>
      <c r="E66">
        <v>77310.75</v>
      </c>
      <c r="F66">
        <v>73760.759999999995</v>
      </c>
      <c r="G66">
        <v>77196.02</v>
      </c>
      <c r="H66">
        <v>85830.96</v>
      </c>
      <c r="I66">
        <v>91753.97</v>
      </c>
      <c r="J66">
        <v>88002.7</v>
      </c>
      <c r="K66">
        <v>93792.38</v>
      </c>
    </row>
    <row r="67" spans="1:11" s="9" customFormat="1" ht="13.8" x14ac:dyDescent="0.25">
      <c r="A67" s="9" t="s">
        <v>78</v>
      </c>
      <c r="B67">
        <v>2474.29</v>
      </c>
      <c r="C67">
        <v>2682.29</v>
      </c>
      <c r="D67">
        <v>4035.28</v>
      </c>
      <c r="E67">
        <v>2562.48</v>
      </c>
      <c r="F67">
        <v>2501.6999999999998</v>
      </c>
      <c r="G67">
        <v>2461.9</v>
      </c>
      <c r="H67">
        <v>2956.17</v>
      </c>
      <c r="I67">
        <v>4025.82</v>
      </c>
      <c r="J67">
        <v>4719.67</v>
      </c>
      <c r="K67">
        <v>3922.86</v>
      </c>
    </row>
    <row r="68" spans="1:11" ht="13.8" x14ac:dyDescent="0.25">
      <c r="A68" s="9" t="s">
        <v>45</v>
      </c>
      <c r="B68">
        <v>8116.1</v>
      </c>
      <c r="C68">
        <v>7495.09</v>
      </c>
      <c r="D68">
        <v>7859.56</v>
      </c>
      <c r="E68">
        <v>8879.33</v>
      </c>
      <c r="F68">
        <v>10397.16</v>
      </c>
      <c r="G68">
        <v>10864.15</v>
      </c>
      <c r="H68">
        <v>11771.16</v>
      </c>
      <c r="I68">
        <v>14152.88</v>
      </c>
      <c r="J68">
        <v>15637.56</v>
      </c>
      <c r="K68">
        <v>18622.96</v>
      </c>
    </row>
    <row r="69" spans="1:11" ht="13.8" x14ac:dyDescent="0.25">
      <c r="A69" s="5" t="s">
        <v>87</v>
      </c>
      <c r="B69">
        <v>2967.4</v>
      </c>
      <c r="C69">
        <v>2899.6</v>
      </c>
      <c r="D69">
        <v>4152.03</v>
      </c>
      <c r="E69">
        <v>7277.34</v>
      </c>
      <c r="F69">
        <v>4659.0200000000004</v>
      </c>
      <c r="G69">
        <v>4654.42</v>
      </c>
      <c r="H69">
        <v>4880.1899999999996</v>
      </c>
      <c r="I69">
        <v>7217.68</v>
      </c>
      <c r="J69">
        <v>4012.36</v>
      </c>
      <c r="K69">
        <v>3008.79</v>
      </c>
    </row>
    <row r="70" spans="1:11" ht="13.8" x14ac:dyDescent="0.25">
      <c r="A70" s="5" t="s">
        <v>74</v>
      </c>
      <c r="B70">
        <v>12147383071</v>
      </c>
      <c r="C70">
        <v>12204294911</v>
      </c>
      <c r="D70">
        <v>12258631601</v>
      </c>
      <c r="E70">
        <v>12292231241</v>
      </c>
      <c r="F70">
        <v>12308844231</v>
      </c>
      <c r="G70">
        <v>12323255931</v>
      </c>
      <c r="H70">
        <v>12428017741</v>
      </c>
      <c r="I70">
        <v>12484700000</v>
      </c>
      <c r="J70">
        <v>12514119781</v>
      </c>
    </row>
    <row r="71" spans="1:11" ht="13.8" x14ac:dyDescent="0.25">
      <c r="A71" s="5" t="s">
        <v>75</v>
      </c>
      <c r="B71">
        <v>4026657100</v>
      </c>
    </row>
    <row r="72" spans="1:11" ht="13.8" x14ac:dyDescent="0.25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ht="13.8" x14ac:dyDescent="0.25">
      <c r="A74" s="9"/>
    </row>
    <row r="75" spans="1:11" ht="13.8" x14ac:dyDescent="0.25">
      <c r="A75" s="9"/>
    </row>
    <row r="76" spans="1:11" ht="13.8" x14ac:dyDescent="0.25">
      <c r="A76" s="9"/>
    </row>
    <row r="77" spans="1:11" ht="13.8" x14ac:dyDescent="0.25">
      <c r="A77" s="9"/>
    </row>
    <row r="78" spans="1:11" ht="13.8" x14ac:dyDescent="0.25">
      <c r="A78" s="9"/>
    </row>
    <row r="79" spans="1:11" ht="13.8" x14ac:dyDescent="0.25">
      <c r="A79" s="9"/>
    </row>
    <row r="80" spans="1:11" ht="13.8" x14ac:dyDescent="0.25">
      <c r="A80" s="1" t="s">
        <v>41</v>
      </c>
    </row>
    <row r="81" spans="1:11" s="24" customFormat="1" ht="13.8" x14ac:dyDescent="0.25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ht="13.8" x14ac:dyDescent="0.25">
      <c r="A82" s="9" t="s">
        <v>32</v>
      </c>
      <c r="B82">
        <v>10627.31</v>
      </c>
      <c r="C82">
        <v>13169.4</v>
      </c>
      <c r="D82">
        <v>12583.41</v>
      </c>
      <c r="E82">
        <v>14689.66</v>
      </c>
      <c r="F82">
        <v>12526.97</v>
      </c>
      <c r="G82">
        <v>15775.51</v>
      </c>
      <c r="H82">
        <v>18877.55</v>
      </c>
      <c r="I82">
        <v>17178.86</v>
      </c>
      <c r="J82">
        <v>17627.04</v>
      </c>
      <c r="K82">
        <v>18464.310000000001</v>
      </c>
    </row>
    <row r="83" spans="1:11" s="9" customFormat="1" ht="13.8" x14ac:dyDescent="0.25">
      <c r="A83" s="9" t="s">
        <v>33</v>
      </c>
      <c r="B83">
        <v>-3250.93</v>
      </c>
      <c r="C83">
        <v>-7113.89</v>
      </c>
      <c r="D83">
        <v>-5545.68</v>
      </c>
      <c r="E83">
        <v>-6174.02</v>
      </c>
      <c r="F83">
        <v>5739.98</v>
      </c>
      <c r="G83">
        <v>-2238.4899999999998</v>
      </c>
      <c r="H83">
        <v>-5732.29</v>
      </c>
      <c r="I83">
        <v>1562.77</v>
      </c>
      <c r="J83">
        <v>-563.84</v>
      </c>
      <c r="K83">
        <v>-2320.7399999999998</v>
      </c>
    </row>
    <row r="84" spans="1:11" s="9" customFormat="1" ht="13.8" x14ac:dyDescent="0.25">
      <c r="A84" s="9" t="s">
        <v>34</v>
      </c>
      <c r="B84">
        <v>-7301.03</v>
      </c>
      <c r="C84">
        <v>-6221.13</v>
      </c>
      <c r="D84">
        <v>-6868.64</v>
      </c>
      <c r="E84">
        <v>-8181.48</v>
      </c>
      <c r="F84">
        <v>-18633.830000000002</v>
      </c>
      <c r="G84">
        <v>-13580.5</v>
      </c>
      <c r="H84">
        <v>-13006.03</v>
      </c>
      <c r="I84">
        <v>-18550.96</v>
      </c>
      <c r="J84">
        <v>-17037.400000000001</v>
      </c>
      <c r="K84">
        <v>-16147.12</v>
      </c>
    </row>
    <row r="85" spans="1:11" s="1" customFormat="1" ht="13.8" x14ac:dyDescent="0.25">
      <c r="A85" s="9" t="s">
        <v>35</v>
      </c>
      <c r="B85">
        <v>75.349999999999994</v>
      </c>
      <c r="C85">
        <v>-165.62</v>
      </c>
      <c r="D85">
        <v>169.09</v>
      </c>
      <c r="E85">
        <v>334.16</v>
      </c>
      <c r="F85">
        <v>-366.88</v>
      </c>
      <c r="G85">
        <v>-43.48</v>
      </c>
      <c r="H85">
        <v>139.22999999999999</v>
      </c>
      <c r="I85">
        <v>190.67</v>
      </c>
      <c r="J85">
        <v>25.8</v>
      </c>
      <c r="K85">
        <v>-3.55</v>
      </c>
    </row>
    <row r="86" spans="1:11" ht="13.8" x14ac:dyDescent="0.25">
      <c r="A86" s="9"/>
    </row>
    <row r="87" spans="1:11" ht="13.8" x14ac:dyDescent="0.25">
      <c r="A87" s="9"/>
    </row>
    <row r="88" spans="1:11" ht="13.8" x14ac:dyDescent="0.25">
      <c r="A88" s="9"/>
    </row>
    <row r="89" spans="1:11" ht="13.8" x14ac:dyDescent="0.25">
      <c r="A89" s="9"/>
    </row>
    <row r="90" spans="1:11" s="1" customFormat="1" ht="13.8" x14ac:dyDescent="0.25">
      <c r="A90" s="1" t="s">
        <v>77</v>
      </c>
      <c r="B90">
        <v>262.75</v>
      </c>
      <c r="C90">
        <v>239.5</v>
      </c>
      <c r="D90">
        <v>278.64</v>
      </c>
      <c r="E90">
        <v>160.94999999999999</v>
      </c>
      <c r="F90">
        <v>204.82</v>
      </c>
      <c r="G90">
        <v>234.96</v>
      </c>
      <c r="H90">
        <v>359.49</v>
      </c>
      <c r="I90">
        <v>401.53</v>
      </c>
      <c r="J90">
        <v>409.75</v>
      </c>
      <c r="K90">
        <v>287.7</v>
      </c>
    </row>
    <row r="92" spans="1:11" s="1" customFormat="1" ht="13.8" x14ac:dyDescent="0.25">
      <c r="A92" s="1" t="s">
        <v>76</v>
      </c>
    </row>
    <row r="93" spans="1:11" ht="13.8" x14ac:dyDescent="0.25">
      <c r="A93" s="5" t="s">
        <v>89</v>
      </c>
      <c r="B93" s="31">
        <v>1214.74</v>
      </c>
      <c r="C93" s="31">
        <v>1220.43</v>
      </c>
      <c r="D93" s="31">
        <v>1225.8599999999999</v>
      </c>
      <c r="E93" s="31">
        <v>1229.22</v>
      </c>
      <c r="F93" s="31">
        <v>1230.8800000000001</v>
      </c>
      <c r="G93" s="31">
        <v>1232.33</v>
      </c>
      <c r="H93" s="31">
        <v>1242.8</v>
      </c>
      <c r="I93" s="31">
        <v>1248.47</v>
      </c>
      <c r="J93" s="31">
        <v>1251.4100000000001</v>
      </c>
      <c r="K93" s="31">
        <v>1252.95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3"/>
  <sheetViews>
    <sheetView showGridLines="0" tabSelected="1" zoomScale="79" zoomScaleNormal="79" workbookViewId="0">
      <selection activeCell="L24" sqref="L24"/>
    </sheetView>
  </sheetViews>
  <sheetFormatPr defaultRowHeight="13.8" x14ac:dyDescent="0.25"/>
  <cols>
    <col min="3" max="3" width="17.69921875" customWidth="1"/>
    <col min="8" max="8" width="7.796875" customWidth="1"/>
    <col min="9" max="9" width="10.3984375" customWidth="1"/>
    <col min="10" max="10" width="8.59765625" customWidth="1"/>
    <col min="12" max="12" width="9.296875" customWidth="1"/>
    <col min="13" max="13" width="10.5" customWidth="1"/>
    <col min="14" max="14" width="14.5" customWidth="1"/>
  </cols>
  <sheetData>
    <row r="3" spans="2:14" ht="25.2" x14ac:dyDescent="0.4">
      <c r="B3" s="32" t="s">
        <v>93</v>
      </c>
      <c r="C3" s="33"/>
      <c r="D3" s="33"/>
      <c r="E3" s="33"/>
      <c r="F3" s="33"/>
    </row>
    <row r="5" spans="2:14" x14ac:dyDescent="0.25">
      <c r="C5" s="35"/>
      <c r="E5" s="35"/>
      <c r="F5" s="35"/>
      <c r="G5" s="35"/>
      <c r="H5" s="35"/>
      <c r="I5" s="36"/>
      <c r="J5" s="36"/>
      <c r="K5" s="36"/>
    </row>
    <row r="6" spans="2:14" x14ac:dyDescent="0.25">
      <c r="C6" s="35"/>
      <c r="D6" s="35"/>
      <c r="E6" s="35"/>
      <c r="F6" s="35"/>
      <c r="G6" s="35"/>
      <c r="H6" s="35"/>
      <c r="I6" s="35"/>
      <c r="J6" s="36"/>
      <c r="K6" s="36"/>
    </row>
    <row r="7" spans="2:14" x14ac:dyDescent="0.25">
      <c r="C7" s="35"/>
      <c r="D7" s="35"/>
      <c r="E7" s="35"/>
      <c r="F7" s="35"/>
      <c r="G7" s="35"/>
      <c r="H7" s="35"/>
      <c r="I7" s="35"/>
      <c r="J7" s="36"/>
      <c r="K7" s="36"/>
    </row>
    <row r="8" spans="2:14" x14ac:dyDescent="0.25">
      <c r="C8" s="35"/>
      <c r="D8" s="35"/>
      <c r="E8" s="35"/>
      <c r="F8" s="35"/>
      <c r="G8" s="35"/>
      <c r="H8" s="35"/>
      <c r="I8" s="35"/>
      <c r="J8" s="36"/>
      <c r="K8" s="36"/>
    </row>
    <row r="9" spans="2:14" x14ac:dyDescent="0.25">
      <c r="C9" s="35"/>
      <c r="D9" s="35"/>
      <c r="E9" s="35"/>
      <c r="F9" s="35"/>
      <c r="G9" s="35"/>
      <c r="H9" s="35"/>
      <c r="I9" s="35"/>
      <c r="J9" s="36"/>
      <c r="K9" s="36"/>
    </row>
    <row r="10" spans="2:14" x14ac:dyDescent="0.25">
      <c r="D10" s="35"/>
      <c r="E10" s="35"/>
      <c r="F10" s="35"/>
      <c r="G10" s="35"/>
      <c r="H10" s="35"/>
      <c r="I10" s="35"/>
      <c r="J10" s="36"/>
      <c r="K10" s="36"/>
    </row>
    <row r="13" spans="2:14" x14ac:dyDescent="0.25">
      <c r="B13" s="55" t="s">
        <v>94</v>
      </c>
      <c r="C13" s="55"/>
      <c r="D13" s="55"/>
      <c r="E13" s="55"/>
      <c r="F13" s="56">
        <v>44651</v>
      </c>
      <c r="G13" s="56">
        <v>45016</v>
      </c>
      <c r="H13" s="56">
        <v>45382</v>
      </c>
      <c r="I13" s="56">
        <v>45747</v>
      </c>
      <c r="J13" s="56">
        <v>46112</v>
      </c>
    </row>
    <row r="15" spans="2:14" ht="20.399999999999999" x14ac:dyDescent="0.25">
      <c r="B15" t="s">
        <v>95</v>
      </c>
      <c r="F15">
        <v>60644.54</v>
      </c>
      <c r="G15">
        <v>70919.03</v>
      </c>
      <c r="H15">
        <v>67931.94</v>
      </c>
      <c r="I15">
        <v>75323.34</v>
      </c>
      <c r="J15">
        <v>78868.399999999994</v>
      </c>
      <c r="L15" s="86"/>
      <c r="M15" s="86"/>
      <c r="N15" s="86"/>
    </row>
    <row r="16" spans="2:14" ht="20.399999999999999" x14ac:dyDescent="0.25">
      <c r="B16" t="s">
        <v>96</v>
      </c>
      <c r="F16" s="37">
        <v>0.23117497962237188</v>
      </c>
      <c r="G16" s="37">
        <v>0.1694215175842706</v>
      </c>
      <c r="H16" s="37">
        <v>-4.2119724423754779E-2</v>
      </c>
      <c r="I16" s="37">
        <v>0.10880596078957838</v>
      </c>
      <c r="J16" s="37">
        <v>4.7064561927285808E-2</v>
      </c>
      <c r="L16" s="86"/>
      <c r="M16" s="86"/>
      <c r="N16" s="86"/>
    </row>
    <row r="17" spans="2:14" ht="20.399999999999999" x14ac:dyDescent="0.25">
      <c r="B17" t="s">
        <v>99</v>
      </c>
      <c r="F17" s="38">
        <v>0.20852129356487503</v>
      </c>
      <c r="G17" s="38">
        <v>0.24637894792987458</v>
      </c>
      <c r="H17" s="38">
        <v>-2.0102893450346215E-2</v>
      </c>
      <c r="I17" s="38">
        <v>2.5882649072775266E-2</v>
      </c>
      <c r="J17" s="38">
        <v>5.7217162129998833E-2</v>
      </c>
      <c r="L17" s="86"/>
      <c r="M17" s="86"/>
      <c r="N17" s="86"/>
    </row>
    <row r="18" spans="2:14" ht="20.399999999999999" x14ac:dyDescent="0.25">
      <c r="B18" t="s">
        <v>101</v>
      </c>
      <c r="F18" s="38">
        <f>'Profit &amp; Loss'!F37</f>
        <v>0.15815211238497429</v>
      </c>
      <c r="G18" s="38">
        <f>'Profit &amp; Loss'!G37</f>
        <v>0.25907551569083087</v>
      </c>
      <c r="H18" s="38">
        <f>'Profit &amp; Loss'!H37</f>
        <v>6.6024512731050811E-2</v>
      </c>
      <c r="I18" s="38">
        <f>'Profit &amp; Loss'!I37</f>
        <v>0.69837253247749853</v>
      </c>
      <c r="J18" s="38">
        <f>'Profit &amp; Loss'!J37</f>
        <v>-0.40456182369340554</v>
      </c>
      <c r="L18" s="86"/>
      <c r="M18" s="86"/>
      <c r="N18" s="86"/>
    </row>
    <row r="19" spans="2:14" x14ac:dyDescent="0.25">
      <c r="B19" t="s">
        <v>102</v>
      </c>
      <c r="F19" s="38">
        <f>'Balance Sheet'!G24</f>
        <v>0.24405605456807136</v>
      </c>
      <c r="G19" s="38">
        <f>'Balance Sheet'!H24</f>
        <v>0.2775155497933201</v>
      </c>
      <c r="H19" s="38">
        <f>'Balance Sheet'!I24</f>
        <v>0.27458869636409999</v>
      </c>
      <c r="I19" s="38">
        <f>'Balance Sheet'!J24</f>
        <v>0.49616743098141436</v>
      </c>
      <c r="J19" s="38">
        <f>'Balance Sheet'!K24</f>
        <v>0.28534326888465023</v>
      </c>
    </row>
    <row r="20" spans="2:14" x14ac:dyDescent="0.25">
      <c r="B20" t="s">
        <v>103</v>
      </c>
      <c r="F20" s="38">
        <f>'Balance Sheet'!G25</f>
        <v>0.33733252742915004</v>
      </c>
      <c r="G20" s="38">
        <f>'Balance Sheet'!H25</f>
        <v>0.39333609298769096</v>
      </c>
      <c r="H20" s="38">
        <f>'Balance Sheet'!I25</f>
        <v>0.3742927321936183</v>
      </c>
      <c r="I20" s="38">
        <f>'Balance Sheet'!J25</f>
        <v>0.57864605289976878</v>
      </c>
      <c r="J20" s="38">
        <f>'Balance Sheet'!K25</f>
        <v>0.38725211479473171</v>
      </c>
    </row>
    <row r="22" spans="2:14" x14ac:dyDescent="0.25">
      <c r="B22" s="33" t="s">
        <v>104</v>
      </c>
      <c r="C22" s="33"/>
      <c r="D22" s="33"/>
      <c r="E22" s="33"/>
      <c r="F22" s="53">
        <f t="shared" ref="F22:J22" si="0">F13</f>
        <v>44651</v>
      </c>
      <c r="G22" s="53">
        <f t="shared" si="0"/>
        <v>45016</v>
      </c>
      <c r="H22" s="53">
        <f t="shared" si="0"/>
        <v>45382</v>
      </c>
      <c r="I22" s="53">
        <f t="shared" si="0"/>
        <v>45747</v>
      </c>
      <c r="J22" s="53">
        <f t="shared" si="0"/>
        <v>46112</v>
      </c>
    </row>
    <row r="23" spans="2:14" x14ac:dyDescent="0.25">
      <c r="B23" t="s">
        <v>105</v>
      </c>
      <c r="F23" s="47">
        <f>Sheet2!L14</f>
        <v>0.11990000000000001</v>
      </c>
      <c r="G23" s="47">
        <f>Sheet2!M14</f>
        <v>0.4335</v>
      </c>
      <c r="H23" s="47">
        <f>Sheet2!N14</f>
        <v>0.40949999999999998</v>
      </c>
      <c r="I23" s="47">
        <f>Sheet2!O14</f>
        <v>0.3987</v>
      </c>
      <c r="J23" s="47">
        <f>Sheet2!P14</f>
        <v>0.3483</v>
      </c>
    </row>
    <row r="24" spans="2:14" x14ac:dyDescent="0.25">
      <c r="B24" t="s">
        <v>106</v>
      </c>
      <c r="F24" s="47">
        <f>Sheet2!L15</f>
        <v>0.42770000000000002</v>
      </c>
      <c r="G24" s="47">
        <f>Sheet2!M15</f>
        <v>0.42080000000000001</v>
      </c>
      <c r="H24" s="47">
        <f>Sheet2!N15</f>
        <v>0.43759999999999999</v>
      </c>
      <c r="I24" s="47">
        <f>Sheet2!O15</f>
        <v>0.45190000000000002</v>
      </c>
      <c r="J24" s="47">
        <f>Sheet2!P15</f>
        <v>0.49149999999999999</v>
      </c>
    </row>
    <row r="25" spans="2:14" x14ac:dyDescent="0.25">
      <c r="B25" t="s">
        <v>107</v>
      </c>
      <c r="F25" s="47">
        <f>Sheet2!L16</f>
        <v>0</v>
      </c>
      <c r="G25" s="47">
        <f>Sheet2!M16</f>
        <v>4.0000000000000002E-4</v>
      </c>
      <c r="H25" s="47">
        <f>Sheet2!N16</f>
        <v>4.0000000000000002E-4</v>
      </c>
      <c r="I25" s="47">
        <f>Sheet2!O16</f>
        <v>4.0000000000000002E-4</v>
      </c>
      <c r="J25" s="47">
        <f>Sheet2!P16</f>
        <v>4.0000000000000002E-4</v>
      </c>
    </row>
    <row r="26" spans="2:14" x14ac:dyDescent="0.25">
      <c r="B26" t="s">
        <v>108</v>
      </c>
      <c r="F26" s="47">
        <f>Sheet2!L17</f>
        <v>0.45240000000000002</v>
      </c>
      <c r="G26" s="47">
        <f>Sheet2!M17</f>
        <v>0.1452</v>
      </c>
      <c r="H26" s="47">
        <f>Sheet2!N17</f>
        <v>0.15229999999999999</v>
      </c>
      <c r="I26" s="47">
        <f>Sheet2!O17</f>
        <v>0.14899999999999999</v>
      </c>
      <c r="J26" s="47">
        <f>Sheet2!P17</f>
        <v>0.15959999999999999</v>
      </c>
    </row>
    <row r="28" spans="2:14" x14ac:dyDescent="0.25">
      <c r="B28" s="54" t="s">
        <v>128</v>
      </c>
      <c r="C28" s="54"/>
    </row>
    <row r="30" spans="2:14" ht="42" thickBot="1" x14ac:dyDescent="0.3">
      <c r="B30" s="82" t="s">
        <v>129</v>
      </c>
      <c r="C30" s="82" t="s">
        <v>130</v>
      </c>
      <c r="D30" s="83" t="s">
        <v>131</v>
      </c>
      <c r="E30" s="83" t="s">
        <v>132</v>
      </c>
      <c r="F30" s="83" t="s">
        <v>133</v>
      </c>
      <c r="G30" s="83" t="s">
        <v>134</v>
      </c>
      <c r="H30" s="83" t="s">
        <v>135</v>
      </c>
      <c r="I30" s="83" t="s">
        <v>136</v>
      </c>
      <c r="J30" s="83" t="s">
        <v>137</v>
      </c>
      <c r="K30" s="83" t="s">
        <v>138</v>
      </c>
      <c r="L30" s="83" t="s">
        <v>139</v>
      </c>
      <c r="M30" s="83" t="s">
        <v>140</v>
      </c>
      <c r="N30" s="83" t="s">
        <v>141</v>
      </c>
    </row>
    <row r="31" spans="2:14" ht="14.4" x14ac:dyDescent="0.25">
      <c r="B31" s="71">
        <v>1</v>
      </c>
      <c r="C31" s="72" t="s">
        <v>142</v>
      </c>
      <c r="D31" s="73">
        <v>2166.4</v>
      </c>
      <c r="E31" s="73">
        <v>33.44</v>
      </c>
      <c r="F31" s="73">
        <v>509015.41</v>
      </c>
      <c r="G31" s="73">
        <v>1.89</v>
      </c>
      <c r="H31" s="73">
        <v>2994</v>
      </c>
      <c r="I31" s="73">
        <v>8.6199999999999992</v>
      </c>
      <c r="J31" s="73">
        <v>16351</v>
      </c>
      <c r="K31" s="73">
        <v>28.42</v>
      </c>
      <c r="L31" s="73">
        <v>1478</v>
      </c>
      <c r="M31" s="73">
        <v>35.090000000000003</v>
      </c>
      <c r="N31" s="73">
        <v>64468</v>
      </c>
    </row>
    <row r="32" spans="2:14" ht="14.4" x14ac:dyDescent="0.25">
      <c r="B32" s="74">
        <v>2</v>
      </c>
      <c r="C32" s="75" t="s">
        <v>143</v>
      </c>
      <c r="D32" s="76">
        <v>290.10000000000002</v>
      </c>
      <c r="E32" s="76">
        <v>17.440000000000001</v>
      </c>
      <c r="F32" s="76">
        <v>363479.77</v>
      </c>
      <c r="G32" s="76">
        <v>4.96</v>
      </c>
      <c r="H32" s="76">
        <v>5469.74</v>
      </c>
      <c r="I32" s="76">
        <v>5.3</v>
      </c>
      <c r="J32" s="76">
        <v>17824.68</v>
      </c>
      <c r="K32" s="76">
        <v>38.93</v>
      </c>
      <c r="L32" s="76">
        <v>2399.06</v>
      </c>
      <c r="M32" s="76">
        <v>12.77</v>
      </c>
      <c r="N32" s="76">
        <v>78868.399999999994</v>
      </c>
    </row>
    <row r="33" spans="2:15" ht="14.4" x14ac:dyDescent="0.25">
      <c r="B33" s="71">
        <v>3</v>
      </c>
      <c r="C33" s="72" t="s">
        <v>144</v>
      </c>
      <c r="D33" s="73">
        <v>549.20000000000005</v>
      </c>
      <c r="E33" s="73">
        <v>43.67</v>
      </c>
      <c r="F33" s="73">
        <v>6654.22</v>
      </c>
      <c r="G33" s="73">
        <v>0</v>
      </c>
      <c r="H33" s="73">
        <v>41.55</v>
      </c>
      <c r="I33" s="73">
        <v>34.17</v>
      </c>
      <c r="J33" s="73">
        <v>1116.75</v>
      </c>
      <c r="K33" s="73">
        <v>14.2</v>
      </c>
      <c r="L33" s="73">
        <v>1088.26</v>
      </c>
      <c r="M33" s="73">
        <v>26.84</v>
      </c>
      <c r="N33" s="73">
        <v>4251.04</v>
      </c>
    </row>
    <row r="34" spans="2:15" ht="15" thickBot="1" x14ac:dyDescent="0.3">
      <c r="B34" s="77">
        <v>4</v>
      </c>
      <c r="C34" s="75" t="s">
        <v>145</v>
      </c>
      <c r="D34" s="78">
        <v>290.75</v>
      </c>
      <c r="E34" s="78">
        <v>44.24</v>
      </c>
      <c r="F34" s="78">
        <v>1487.95</v>
      </c>
      <c r="G34" s="78">
        <v>0</v>
      </c>
      <c r="H34" s="78">
        <v>52.88</v>
      </c>
      <c r="I34" s="78">
        <v>-30.03</v>
      </c>
      <c r="J34" s="78">
        <v>564.1</v>
      </c>
      <c r="K34" s="78">
        <v>6.55</v>
      </c>
      <c r="L34" s="78">
        <v>530.76</v>
      </c>
      <c r="M34" s="78">
        <v>23.42</v>
      </c>
      <c r="N34" s="78">
        <v>1987.94</v>
      </c>
    </row>
    <row r="35" spans="2:15" ht="15" thickBot="1" x14ac:dyDescent="0.3">
      <c r="B35" s="79">
        <v>5</v>
      </c>
      <c r="C35" s="80" t="s">
        <v>146</v>
      </c>
      <c r="D35" s="81">
        <v>3.59</v>
      </c>
      <c r="E35" s="81">
        <v>60.31</v>
      </c>
      <c r="F35" s="81">
        <v>513.37</v>
      </c>
      <c r="G35" s="81">
        <v>0</v>
      </c>
      <c r="H35" s="81">
        <v>1.95</v>
      </c>
      <c r="I35" s="81">
        <v>0.52</v>
      </c>
      <c r="J35" s="81">
        <v>83.82</v>
      </c>
      <c r="K35" s="81">
        <v>5.56</v>
      </c>
      <c r="L35" s="81">
        <v>250.05</v>
      </c>
      <c r="M35" s="81">
        <v>19.79</v>
      </c>
      <c r="N35" s="81">
        <v>238.77</v>
      </c>
    </row>
    <row r="36" spans="2:15" x14ac:dyDescent="0.25">
      <c r="L36" s="33" t="s">
        <v>152</v>
      </c>
      <c r="M36" s="33"/>
      <c r="N36" s="33"/>
    </row>
    <row r="37" spans="2:15" x14ac:dyDescent="0.25">
      <c r="L37" s="33"/>
      <c r="M37" s="33"/>
      <c r="N37" s="33" t="s">
        <v>155</v>
      </c>
    </row>
    <row r="38" spans="2:15" ht="20.399999999999999" x14ac:dyDescent="0.25">
      <c r="B38" s="34" t="s">
        <v>147</v>
      </c>
      <c r="C38" s="34"/>
      <c r="L38" s="87"/>
      <c r="M38" s="88" t="s">
        <v>153</v>
      </c>
      <c r="N38" s="88"/>
      <c r="O38" s="86"/>
    </row>
    <row r="39" spans="2:15" ht="20.399999999999999" x14ac:dyDescent="0.25">
      <c r="L39" s="87"/>
      <c r="M39" s="89" t="s">
        <v>157</v>
      </c>
      <c r="N39" s="90">
        <v>2399</v>
      </c>
      <c r="O39" s="86"/>
    </row>
    <row r="40" spans="2:15" ht="20.399999999999999" x14ac:dyDescent="0.25">
      <c r="B40" t="s">
        <v>148</v>
      </c>
      <c r="L40" s="87"/>
      <c r="M40" s="88" t="s">
        <v>154</v>
      </c>
      <c r="N40" s="88"/>
      <c r="O40" s="86"/>
    </row>
    <row r="41" spans="2:15" ht="20.399999999999999" x14ac:dyDescent="0.25">
      <c r="B41" t="s">
        <v>149</v>
      </c>
      <c r="L41" s="87" t="s">
        <v>158</v>
      </c>
      <c r="M41" s="91"/>
      <c r="N41" s="91">
        <v>335477</v>
      </c>
      <c r="O41" s="86"/>
    </row>
    <row r="42" spans="2:15" x14ac:dyDescent="0.25">
      <c r="B42" t="s">
        <v>150</v>
      </c>
    </row>
    <row r="43" spans="2:15" x14ac:dyDescent="0.25">
      <c r="B43" t="s">
        <v>156</v>
      </c>
      <c r="I43" t="s">
        <v>151</v>
      </c>
    </row>
  </sheetData>
  <hyperlinks>
    <hyperlink ref="C31" r:id="rId1" display="https://www.screener.in/company/HINDUNILVR/consolidated/"/>
    <hyperlink ref="C32" r:id="rId2" display="https://www.screener.in/company/ITC/consolidated/"/>
    <hyperlink ref="C33" r:id="rId3" display="https://www.screener.in/company/HNDFDS/consolidated/"/>
    <hyperlink ref="C34" r:id="rId4" display="https://www.screener.in/company/GODAVARIB/consolidated/"/>
    <hyperlink ref="C35" r:id="rId5" display="https://www.screener.in/company/DAVANGERE/"/>
  </hyperlinks>
  <pageMargins left="0.5" right="0.5" top="0.75" bottom="0.01" header="0.3" footer="0.1"/>
  <pageSetup paperSize="12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Sheet1 (2)</vt:lpstr>
      <vt:lpstr>Profit &amp; Loss</vt:lpstr>
      <vt:lpstr>Sheet2</vt:lpstr>
      <vt:lpstr>Quarters</vt:lpstr>
      <vt:lpstr>Balance Sheet</vt:lpstr>
      <vt:lpstr>Cash Flow</vt:lpstr>
      <vt:lpstr>Customization</vt:lpstr>
      <vt:lpstr>Data Sheet</vt:lpstr>
      <vt:lpstr>Sheet1</vt:lpstr>
      <vt:lpstr>UPDATE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user</cp:lastModifiedBy>
  <cp:lastPrinted>2026-06-23T08:51:36Z</cp:lastPrinted>
  <dcterms:created xsi:type="dcterms:W3CDTF">2012-08-17T09:55:37Z</dcterms:created>
  <dcterms:modified xsi:type="dcterms:W3CDTF">2026-07-14T03:50:11Z</dcterms:modified>
</cp:coreProperties>
</file>