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504" windowWidth="28800" windowHeight="17496" firstSheet="1" activeTab="7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  <sheet name="Sheet2" sheetId="8" r:id="rId7"/>
    <sheet name="Sheet1" sheetId="7" r:id="rId8"/>
  </sheets>
  <definedNames>
    <definedName name="UPDATE">'Data Sheet'!$E$1</definedName>
  </definedNames>
  <calcPr calcId="152511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59" i="7" l="1"/>
  <c r="F109" i="7" l="1"/>
  <c r="E119" i="7" s="1" a="1"/>
  <c r="E119" i="7" s="1"/>
  <c r="J138" i="7" l="1"/>
  <c r="J139" i="7" s="1"/>
  <c r="I138" i="7"/>
  <c r="I139" i="7" s="1"/>
  <c r="K138" i="7"/>
  <c r="K139" i="7" s="1"/>
  <c r="L138" i="7"/>
  <c r="L139" i="7" s="1"/>
  <c r="H138" i="7"/>
  <c r="H139" i="7" s="1"/>
  <c r="J77" i="7"/>
  <c r="I73" i="7" s="1" a="1"/>
  <c r="H30" i="7"/>
  <c r="L44" i="7"/>
  <c r="I44" i="7"/>
  <c r="J44" i="7"/>
  <c r="K44" i="7"/>
  <c r="H44" i="7"/>
  <c r="L42" i="7"/>
  <c r="I42" i="7"/>
  <c r="J42" i="7"/>
  <c r="K42" i="7"/>
  <c r="H42" i="7"/>
  <c r="I40" i="7"/>
  <c r="J40" i="7"/>
  <c r="K40" i="7"/>
  <c r="L40" i="7"/>
  <c r="H40" i="7"/>
  <c r="L36" i="7"/>
  <c r="I36" i="7"/>
  <c r="I37" i="7" s="1"/>
  <c r="J36" i="7"/>
  <c r="K36" i="7"/>
  <c r="H36" i="7"/>
  <c r="H37" i="7" s="1"/>
  <c r="I32" i="7"/>
  <c r="I33" i="7" s="1"/>
  <c r="J32" i="7"/>
  <c r="K32" i="7"/>
  <c r="K33" i="7" s="1"/>
  <c r="L32" i="7"/>
  <c r="H32" i="7"/>
  <c r="H34" i="7" s="1"/>
  <c r="I30" i="7"/>
  <c r="J30" i="7"/>
  <c r="K30" i="7"/>
  <c r="L30" i="7"/>
  <c r="L34" i="7" s="1"/>
  <c r="L35" i="7" s="1"/>
  <c r="H35" i="7" l="1"/>
  <c r="H38" i="7"/>
  <c r="K31" i="7"/>
  <c r="I34" i="7"/>
  <c r="I35" i="7" s="1"/>
  <c r="J33" i="7"/>
  <c r="J37" i="7"/>
  <c r="E146" i="7"/>
  <c r="J34" i="7"/>
  <c r="J35" i="7" s="1"/>
  <c r="L33" i="7"/>
  <c r="L37" i="7"/>
  <c r="L31" i="7"/>
  <c r="K34" i="7"/>
  <c r="K35" i="7" s="1"/>
  <c r="K37" i="7"/>
  <c r="L38" i="7"/>
  <c r="J31" i="7"/>
  <c r="H33" i="7"/>
  <c r="I31" i="7"/>
  <c r="I73" i="7"/>
  <c r="I75" i="7" s="1"/>
  <c r="J86" i="7" s="1"/>
  <c r="L73" i="7"/>
  <c r="K73" i="7"/>
  <c r="J73" i="7"/>
  <c r="M73" i="7"/>
  <c r="B3" i="1"/>
  <c r="C3" i="1"/>
  <c r="D3" i="1"/>
  <c r="E3" i="1"/>
  <c r="F3" i="1"/>
  <c r="G3" i="1"/>
  <c r="H3" i="1"/>
  <c r="I3" i="1"/>
  <c r="J3" i="1"/>
  <c r="K3" i="1"/>
  <c r="B4" i="1"/>
  <c r="B6" i="1" s="1"/>
  <c r="C4" i="1"/>
  <c r="C6" i="1" s="1"/>
  <c r="D4" i="1"/>
  <c r="E4" i="1"/>
  <c r="F4" i="1"/>
  <c r="G4" i="1"/>
  <c r="G6" i="1" s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E6" i="1"/>
  <c r="F6" i="1"/>
  <c r="I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C13" i="1" s="1"/>
  <c r="D12" i="1"/>
  <c r="E12" i="1"/>
  <c r="F12" i="1"/>
  <c r="F13" i="1" s="1"/>
  <c r="G12" i="1"/>
  <c r="G13" i="1" s="1"/>
  <c r="H12" i="1"/>
  <c r="I12" i="1"/>
  <c r="I13" i="1" s="1"/>
  <c r="J12" i="1"/>
  <c r="J13" i="1" s="1"/>
  <c r="K12" i="1"/>
  <c r="K13" i="1" s="1"/>
  <c r="D13" i="1"/>
  <c r="E13" i="1"/>
  <c r="H13" i="1"/>
  <c r="K38" i="7" l="1"/>
  <c r="I38" i="7"/>
  <c r="J38" i="7"/>
  <c r="J6" i="1"/>
  <c r="H6" i="1"/>
  <c r="D6" i="1"/>
  <c r="D19" i="1" s="1"/>
  <c r="I39" i="7"/>
  <c r="I41" i="7"/>
  <c r="I43" i="7" s="1"/>
  <c r="I45" i="7" s="1"/>
  <c r="I46" i="7" s="1"/>
  <c r="L39" i="7"/>
  <c r="J87" i="7" s="1"/>
  <c r="K87" i="7" s="1"/>
  <c r="L87" i="7" s="1"/>
  <c r="M87" i="7" s="1"/>
  <c r="N87" i="7" s="1"/>
  <c r="L41" i="7"/>
  <c r="L43" i="7" s="1"/>
  <c r="L45" i="7" s="1"/>
  <c r="L46" i="7" s="1"/>
  <c r="K39" i="7"/>
  <c r="K41" i="7"/>
  <c r="K43" i="7" s="1"/>
  <c r="K45" i="7" s="1"/>
  <c r="K46" i="7" s="1"/>
  <c r="J88" i="7"/>
  <c r="J41" i="7"/>
  <c r="J43" i="7" s="1"/>
  <c r="J45" i="7" s="1"/>
  <c r="J46" i="7" s="1"/>
  <c r="J39" i="7"/>
  <c r="J75" i="7"/>
  <c r="H39" i="7"/>
  <c r="H41" i="7"/>
  <c r="H43" i="7" s="1"/>
  <c r="H45" i="7" s="1"/>
  <c r="H46" i="7" s="1"/>
  <c r="C6" i="3"/>
  <c r="D6" i="3"/>
  <c r="E6" i="3"/>
  <c r="F6" i="3"/>
  <c r="G6" i="3"/>
  <c r="H6" i="3"/>
  <c r="I6" i="3"/>
  <c r="J6" i="3"/>
  <c r="K6" i="3"/>
  <c r="B6" i="3"/>
  <c r="B93" i="6"/>
  <c r="B13" i="1" s="1"/>
  <c r="B6" i="6"/>
  <c r="C17" i="2"/>
  <c r="D17" i="2"/>
  <c r="E17" i="2"/>
  <c r="E20" i="2" s="1"/>
  <c r="F17" i="2"/>
  <c r="G17" i="2"/>
  <c r="H17" i="2"/>
  <c r="I17" i="2"/>
  <c r="J17" i="2"/>
  <c r="K17" i="2"/>
  <c r="C18" i="2"/>
  <c r="D18" i="2"/>
  <c r="D21" i="2" s="1"/>
  <c r="E18" i="2"/>
  <c r="F18" i="2"/>
  <c r="G18" i="2"/>
  <c r="H18" i="2"/>
  <c r="H21" i="2" s="1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K23" i="2" s="1"/>
  <c r="C5" i="2"/>
  <c r="C23" i="2" s="1"/>
  <c r="D5" i="2"/>
  <c r="F5" i="2"/>
  <c r="G5" i="2"/>
  <c r="G23" i="2" s="1"/>
  <c r="H5" i="2"/>
  <c r="H23" i="2" s="1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K16" i="2" s="1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23" i="2" s="1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H4" i="3"/>
  <c r="I4" i="3"/>
  <c r="I14" i="3" s="1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19" i="1"/>
  <c r="F20" i="2"/>
  <c r="I23" i="1"/>
  <c r="C15" i="1"/>
  <c r="C14" i="1" s="1"/>
  <c r="D15" i="1"/>
  <c r="D14" i="1" s="1"/>
  <c r="E15" i="1"/>
  <c r="E14" i="1" s="1"/>
  <c r="F15" i="1"/>
  <c r="F14" i="1"/>
  <c r="G15" i="1"/>
  <c r="G14" i="1" s="1"/>
  <c r="H15" i="1"/>
  <c r="I15" i="1"/>
  <c r="J15" i="1"/>
  <c r="J14" i="1" s="1"/>
  <c r="K15" i="1"/>
  <c r="K14" i="1" s="1"/>
  <c r="B15" i="1"/>
  <c r="B14" i="1" s="1"/>
  <c r="B20" i="2"/>
  <c r="A1" i="1"/>
  <c r="A1" i="2" s="1"/>
  <c r="A1" i="4" s="1"/>
  <c r="E1" i="6"/>
  <c r="H1" i="1" s="1"/>
  <c r="E1" i="2"/>
  <c r="E1" i="3"/>
  <c r="D16" i="2"/>
  <c r="F23" i="2"/>
  <c r="C16" i="2"/>
  <c r="E19" i="1"/>
  <c r="D23" i="2"/>
  <c r="I19" i="1"/>
  <c r="J19" i="1"/>
  <c r="K19" i="1"/>
  <c r="G19" i="1"/>
  <c r="B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B7" i="4"/>
  <c r="B6" i="4"/>
  <c r="B5" i="4"/>
  <c r="B4" i="4"/>
  <c r="B3" i="4"/>
  <c r="K21" i="2"/>
  <c r="J21" i="2"/>
  <c r="I21" i="2"/>
  <c r="G21" i="2"/>
  <c r="F21" i="2"/>
  <c r="E21" i="2"/>
  <c r="C21" i="2"/>
  <c r="B18" i="2"/>
  <c r="B21" i="2" s="1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G14" i="3"/>
  <c r="G20" i="2"/>
  <c r="K20" i="2"/>
  <c r="D20" i="2"/>
  <c r="J20" i="2"/>
  <c r="A1" i="3"/>
  <c r="H23" i="1"/>
  <c r="J23" i="1"/>
  <c r="L9" i="1" l="1"/>
  <c r="L4" i="1"/>
  <c r="L23" i="1" s="1"/>
  <c r="E16" i="2"/>
  <c r="E23" i="2"/>
  <c r="L6" i="1"/>
  <c r="L12" i="1"/>
  <c r="L13" i="1" s="1"/>
  <c r="L14" i="1" s="1"/>
  <c r="L25" i="1" s="1"/>
  <c r="L8" i="1"/>
  <c r="M11" i="1"/>
  <c r="L11" i="1"/>
  <c r="N11" i="1" s="1"/>
  <c r="L7" i="1"/>
  <c r="H16" i="2"/>
  <c r="J89" i="7"/>
  <c r="K75" i="7"/>
  <c r="K86" i="7"/>
  <c r="K88" i="7" s="1"/>
  <c r="B16" i="2"/>
  <c r="C20" i="2"/>
  <c r="K24" i="1"/>
  <c r="J23" i="2"/>
  <c r="J24" i="2"/>
  <c r="D24" i="2"/>
  <c r="I16" i="2"/>
  <c r="K24" i="2"/>
  <c r="I24" i="2"/>
  <c r="I14" i="1"/>
  <c r="C24" i="2"/>
  <c r="I23" i="2"/>
  <c r="H24" i="2"/>
  <c r="F24" i="2"/>
  <c r="H14" i="1"/>
  <c r="J16" i="2"/>
  <c r="G16" i="2"/>
  <c r="G24" i="2"/>
  <c r="E24" i="2"/>
  <c r="I20" i="2"/>
  <c r="H20" i="2"/>
  <c r="K23" i="1"/>
  <c r="M23" i="1" s="1"/>
  <c r="M4" i="1" s="1"/>
  <c r="H19" i="1"/>
  <c r="J24" i="1" s="1"/>
  <c r="F19" i="1"/>
  <c r="H24" i="1" s="1"/>
  <c r="E1" i="4"/>
  <c r="J25" i="1" l="1"/>
  <c r="I25" i="1"/>
  <c r="K25" i="1"/>
  <c r="M25" i="1" s="1"/>
  <c r="M14" i="1" s="1"/>
  <c r="N8" i="1"/>
  <c r="M8" i="1"/>
  <c r="H25" i="1"/>
  <c r="N25" i="1" s="1"/>
  <c r="N14" i="1" s="1"/>
  <c r="L19" i="1"/>
  <c r="L24" i="1" s="1"/>
  <c r="M24" i="1" s="1"/>
  <c r="M6" i="1" s="1"/>
  <c r="M10" i="1" s="1"/>
  <c r="M12" i="1" s="1"/>
  <c r="M13" i="1" s="1"/>
  <c r="M15" i="1" s="1"/>
  <c r="M9" i="1"/>
  <c r="N9" i="1"/>
  <c r="J90" i="7"/>
  <c r="J93" i="7"/>
  <c r="K89" i="7"/>
  <c r="L75" i="7"/>
  <c r="L86" i="7"/>
  <c r="L88" i="7" s="1"/>
  <c r="I24" i="1"/>
  <c r="N24" i="1" s="1"/>
  <c r="N23" i="1"/>
  <c r="N4" i="1" s="1"/>
  <c r="K90" i="7" l="1"/>
  <c r="K93" i="7"/>
  <c r="J91" i="7"/>
  <c r="J92" i="7" s="1"/>
  <c r="L89" i="7"/>
  <c r="M75" i="7"/>
  <c r="N86" i="7" s="1"/>
  <c r="N88" i="7" s="1"/>
  <c r="M86" i="7"/>
  <c r="M88" i="7" s="1"/>
  <c r="N6" i="1"/>
  <c r="N10" i="1" s="1"/>
  <c r="N12" i="1" s="1"/>
  <c r="N13" i="1" s="1"/>
  <c r="N15" i="1" s="1"/>
  <c r="N5" i="1"/>
  <c r="M5" i="1"/>
  <c r="J94" i="7" l="1"/>
  <c r="J95" i="7" s="1"/>
  <c r="L90" i="7"/>
  <c r="L93" i="7"/>
  <c r="K91" i="7"/>
  <c r="K92" i="7" s="1"/>
  <c r="M89" i="7"/>
  <c r="N89" i="7"/>
  <c r="K94" i="7" l="1"/>
  <c r="K95" i="7" s="1"/>
  <c r="N90" i="7"/>
  <c r="N93" i="7"/>
  <c r="M90" i="7"/>
  <c r="M93" i="7"/>
  <c r="L91" i="7"/>
  <c r="L92" i="7" s="1"/>
  <c r="L94" i="7" l="1"/>
  <c r="L95" i="7" s="1"/>
  <c r="N91" i="7"/>
  <c r="N92" i="7" s="1"/>
  <c r="M91" i="7"/>
  <c r="M92" i="7" s="1"/>
  <c r="M94" i="7" l="1"/>
  <c r="M95" i="7"/>
  <c r="N94" i="7"/>
  <c r="N95" i="7" s="1"/>
  <c r="F125" i="7" s="1"/>
  <c r="F129" i="7" s="1"/>
  <c r="M137" i="7" s="1"/>
  <c r="M139" i="7" s="1"/>
  <c r="E149" i="7" s="1"/>
  <c r="E153" i="7" s="1"/>
  <c r="E158" i="7" s="1"/>
  <c r="E161" i="7" s="1"/>
  <c r="E163" i="7" s="1"/>
  <c r="E165" i="7" l="1"/>
</calcChain>
</file>

<file path=xl/sharedStrings.xml><?xml version="1.0" encoding="utf-8"?>
<sst xmlns="http://schemas.openxmlformats.org/spreadsheetml/2006/main" count="271" uniqueCount="187">
  <si>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</si>
  <si>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</si>
  <si>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</si>
  <si>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</si>
  <si>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</si>
  <si>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</si>
  <si>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</si>
  <si>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</si>
  <si>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</si>
  <si>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</si>
  <si>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</si>
  <si>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</si>
  <si>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</si>
  <si>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</si>
  <si>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</si>
  <si>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</si>
  <si>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</si>
  <si>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</si>
  <si>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</si>
  <si>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</si>
  <si>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</si>
  <si>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</si>
  <si>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</si>
  <si>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</si>
  <si>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</si>
  <si>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</si>
  <si>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</si>
  <si>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</si>
  <si>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</si>
  <si>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</si>
  <si>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</si>
  <si>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</si>
  <si>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</si>
  <si>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</si>
  <si>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</si>
  <si>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</si>
  <si>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</si>
  <si>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</si>
  <si>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</si>
  <si>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</si>
  <si>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</si>
  <si>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</si>
  <si>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</si>
  <si>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</si>
  <si>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</si>
  <si>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</si>
  <si>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</si>
  <si>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</si>
  <si>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</si>
  <si>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</si>
  <si>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</si>
  <si>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</si>
  <si>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</si>
  <si>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</si>
  <si>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</si>
  <si>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</si>
  <si>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</si>
  <si>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</si>
  <si>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</si>
  <si>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</si>
  <si>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</si>
  <si>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</si>
  <si>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</si>
  <si>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ETERNAL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</si>
  <si>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</si>
  <si>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</si>
  <si>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</si>
  <si>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</si>
  <si>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</si>
  <si>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</si>
  <si>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</si>
  <si>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</si>
  <si>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</si>
  <si>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</si>
  <si>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</si>
  <si>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</si>
  <si>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</si>
  <si>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</si>
  <si>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</si>
  <si>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</si>
  <si>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</si>
  <si>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</si>
  <si>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</si>
  <si>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</si>
  <si>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</si>
  <si>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</si>
  <si>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</si>
  <si>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</si>
  <si>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</si>
  <si>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</si>
  <si>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</si>
  <si>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</si>
  <si>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entury Gothic"/>
        <family val="2"/>
        <scheme val="minor"/>
      </rPr>
      <t>support@screener.in</t>
    </r>
  </si>
  <si>
    <t>Company  Overview</t>
  </si>
  <si>
    <r>
      <t>Eternal Limited</t>
    </r>
    <r>
      <rPr>
        <sz val="11"/>
        <color theme="1"/>
        <rFont val="Century Gothic"/>
        <family val="2"/>
        <scheme val="minor"/>
      </rPr>
      <t xml:space="preserve"> (formerly known as Zomato Limited) is a major Indian technology conglomerate based in Gurugram, Haryana. It operates as the parent company for four core digital commerce businesses: </t>
    </r>
    <r>
      <rPr>
        <b/>
        <sz val="10"/>
        <color theme="1"/>
        <rFont val="Arial"/>
        <family val="2"/>
      </rPr>
      <t>Zomato</t>
    </r>
    <r>
      <rPr>
        <sz val="11"/>
        <color theme="1"/>
        <rFont val="Century Gothic"/>
        <family val="2"/>
        <scheme val="minor"/>
      </rPr>
      <t xml:space="preserve"> (food delivery), </t>
    </r>
    <r>
      <rPr>
        <b/>
        <sz val="10"/>
        <color theme="1"/>
        <rFont val="Arial"/>
        <family val="2"/>
      </rPr>
      <t>Blinkit</t>
    </r>
    <r>
      <rPr>
        <sz val="11"/>
        <color theme="1"/>
        <rFont val="Century Gothic"/>
        <family val="2"/>
        <scheme val="minor"/>
      </rPr>
      <t xml:space="preserve"> (quick commerce), </t>
    </r>
    <r>
      <rPr>
        <b/>
        <sz val="10"/>
        <color theme="1"/>
        <rFont val="Arial"/>
        <family val="2"/>
      </rPr>
      <t>Hyperpure</t>
    </r>
    <r>
      <rPr>
        <sz val="11"/>
        <color theme="1"/>
        <rFont val="Century Gothic"/>
        <family val="2"/>
        <scheme val="minor"/>
      </rPr>
      <t xml:space="preserve"> (B2B supply), and </t>
    </r>
    <r>
      <rPr>
        <b/>
        <sz val="10"/>
        <color theme="1"/>
        <rFont val="Arial"/>
        <family val="2"/>
      </rPr>
      <t>District</t>
    </r>
    <r>
      <rPr>
        <sz val="11"/>
        <color theme="1"/>
        <rFont val="Century Gothic"/>
        <family val="2"/>
        <scheme val="minor"/>
      </rPr>
      <t xml:space="preserve"> (ticketing and going-out services).</t>
    </r>
  </si>
  <si>
    <t>Key  Financial Methodology</t>
  </si>
  <si>
    <t xml:space="preserve">           *</t>
  </si>
  <si>
    <t xml:space="preserve">Projected period- </t>
  </si>
  <si>
    <t>Valuation Date-</t>
  </si>
  <si>
    <t>Financial Statements</t>
  </si>
  <si>
    <t xml:space="preserve">Income Statement </t>
  </si>
  <si>
    <t xml:space="preserve">Particulars </t>
  </si>
  <si>
    <t>Risk free rate -6.5%</t>
  </si>
  <si>
    <t xml:space="preserve">           *      </t>
  </si>
  <si>
    <t>Growth rate- 20%</t>
  </si>
  <si>
    <t>Tax rate-25%</t>
  </si>
  <si>
    <t>sales growth(y-o-y)</t>
  </si>
  <si>
    <t>COGS</t>
  </si>
  <si>
    <t xml:space="preserve">% on sales </t>
  </si>
  <si>
    <t xml:space="preserve">Gross Profit </t>
  </si>
  <si>
    <t>gross margins %</t>
  </si>
  <si>
    <t xml:space="preserve">Operating expense </t>
  </si>
  <si>
    <t>EBITDA</t>
  </si>
  <si>
    <t>Ebitda margins%</t>
  </si>
  <si>
    <t xml:space="preserve">Depecitaion and amortisations </t>
  </si>
  <si>
    <t>EBIT</t>
  </si>
  <si>
    <t xml:space="preserve">Interest </t>
  </si>
  <si>
    <t xml:space="preserve">EBT </t>
  </si>
  <si>
    <t xml:space="preserve">Tax </t>
  </si>
  <si>
    <t xml:space="preserve">Net Profit </t>
  </si>
  <si>
    <t>Net Margins %</t>
  </si>
  <si>
    <t>BALANCESHEET</t>
  </si>
  <si>
    <t>Revenue Projection and Growth Assumption</t>
  </si>
  <si>
    <t xml:space="preserve">Revenue growth </t>
  </si>
  <si>
    <t>Revenue ( in Crs)</t>
  </si>
  <si>
    <t>Case Scenario</t>
  </si>
  <si>
    <t>FY 27 E</t>
  </si>
  <si>
    <t>FY 28 E</t>
  </si>
  <si>
    <t>FY 29 E</t>
  </si>
  <si>
    <t>FY 30 E</t>
  </si>
  <si>
    <t>FY 31 E</t>
  </si>
  <si>
    <t xml:space="preserve">Base case </t>
  </si>
  <si>
    <t xml:space="preserve">Best case </t>
  </si>
  <si>
    <t>Worst case</t>
  </si>
  <si>
    <r>
      <t>2022</t>
    </r>
    <r>
      <rPr>
        <b/>
        <sz val="16"/>
        <color theme="0"/>
        <rFont val="Calibri"/>
        <family val="2"/>
      </rPr>
      <t>₹</t>
    </r>
  </si>
  <si>
    <r>
      <t>2023</t>
    </r>
    <r>
      <rPr>
        <b/>
        <sz val="16"/>
        <color theme="0"/>
        <rFont val="Calibri"/>
        <family val="2"/>
      </rPr>
      <t>₹</t>
    </r>
  </si>
  <si>
    <r>
      <t>2024</t>
    </r>
    <r>
      <rPr>
        <b/>
        <sz val="16"/>
        <color theme="0"/>
        <rFont val="Calibri"/>
        <family val="2"/>
      </rPr>
      <t>₹</t>
    </r>
  </si>
  <si>
    <r>
      <t>2025</t>
    </r>
    <r>
      <rPr>
        <b/>
        <sz val="16"/>
        <color theme="0"/>
        <rFont val="Calibri"/>
        <family val="2"/>
      </rPr>
      <t>₹</t>
    </r>
  </si>
  <si>
    <r>
      <t>2026</t>
    </r>
    <r>
      <rPr>
        <b/>
        <sz val="16"/>
        <color theme="0"/>
        <rFont val="Calibri"/>
        <family val="2"/>
      </rPr>
      <t>₹</t>
    </r>
  </si>
  <si>
    <t>Free Cash Flow to firm</t>
  </si>
  <si>
    <t>Revenue</t>
  </si>
  <si>
    <t xml:space="preserve">EBITDA Margin </t>
  </si>
  <si>
    <t xml:space="preserve">EBITDA </t>
  </si>
  <si>
    <t xml:space="preserve">Less:Depreciation and Amortisation </t>
  </si>
  <si>
    <t>Less:Tax</t>
  </si>
  <si>
    <t>NOPAT</t>
  </si>
  <si>
    <t xml:space="preserve">Add:Depreciation and amortisation </t>
  </si>
  <si>
    <t xml:space="preserve">Less:Reinvestment </t>
  </si>
  <si>
    <t>WACC</t>
  </si>
  <si>
    <t xml:space="preserve">COST OF DEBT </t>
  </si>
  <si>
    <t>After tax cost of debt -</t>
  </si>
  <si>
    <t>Tax rate -</t>
  </si>
  <si>
    <t xml:space="preserve">COST OF EQUITY </t>
  </si>
  <si>
    <t>Cost of equity-</t>
  </si>
  <si>
    <t>Equity free rate -        6.5%</t>
  </si>
  <si>
    <t>Equity risk premium-     5%</t>
  </si>
  <si>
    <t>Unleaverd beta-         .75</t>
  </si>
  <si>
    <t>WACC  -</t>
  </si>
  <si>
    <t>TERMINAL VALUE CALCULATIONS</t>
  </si>
  <si>
    <t>Terminal  rate - 6%</t>
  </si>
  <si>
    <t>Terminal FCF(FY31)-</t>
  </si>
  <si>
    <t>Free cash flow to firm</t>
  </si>
  <si>
    <t>Terminal growth rate -</t>
  </si>
  <si>
    <t>Terminal value FCFF*(1+g)/wacc-g  -</t>
  </si>
  <si>
    <t xml:space="preserve">SALES </t>
  </si>
  <si>
    <r>
      <rPr>
        <sz val="22"/>
        <color theme="1"/>
        <rFont val="Century Gothic"/>
        <family val="2"/>
        <scheme val="minor"/>
      </rPr>
      <t>Present value Calculations</t>
    </r>
    <r>
      <rPr>
        <sz val="11"/>
        <color theme="1"/>
        <rFont val="Century Gothic"/>
        <family val="2"/>
        <scheme val="minor"/>
      </rPr>
      <t xml:space="preserve"> </t>
    </r>
  </si>
  <si>
    <t>Particulars</t>
  </si>
  <si>
    <t>FCFF</t>
  </si>
  <si>
    <t xml:space="preserve">   </t>
  </si>
  <si>
    <t>PV of FCFF</t>
  </si>
  <si>
    <t>Discount rate @18%</t>
  </si>
  <si>
    <t>TERMINAL VALUE</t>
  </si>
  <si>
    <t>H79</t>
  </si>
  <si>
    <t xml:space="preserve">DCF  VALUATION SUMMARY </t>
  </si>
  <si>
    <t xml:space="preserve">SUM of present value of FCFF (FY27 -31)      </t>
  </si>
  <si>
    <t>Terminal value =</t>
  </si>
  <si>
    <t xml:space="preserve">ENTERPRISE VALUE </t>
  </si>
  <si>
    <t>Enterprise value -</t>
  </si>
  <si>
    <t xml:space="preserve">Add:Debt </t>
  </si>
  <si>
    <t xml:space="preserve">Less:Cash and Cash &amp; investment </t>
  </si>
  <si>
    <t>EQUITY VALUE</t>
  </si>
  <si>
    <t xml:space="preserve">Share outstanding </t>
  </si>
  <si>
    <t>(cr)</t>
  </si>
  <si>
    <t>fair value</t>
  </si>
  <si>
    <t>CMP</t>
  </si>
  <si>
    <t>Downside</t>
  </si>
  <si>
    <t>Pre tax cost of debt - 7%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</si>
</sst>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;;;"/>
    <numFmt numFmtId="167" formatCode="\:"/>
  </numFmts>
  <fonts count="34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1"/>
      <name val="Century Gothic"/>
      <family val="2"/>
      <scheme val="minor"/>
    </font>
    <font>
      <u/>
      <sz val="11"/>
      <color theme="10"/>
      <name val="Calibri"/>
      <family val="2"/>
    </font>
    <font>
      <sz val="11"/>
      <color theme="0"/>
      <name val="Century Gothic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entury Gothic"/>
      <family val="2"/>
      <scheme val="minor"/>
    </font>
    <font>
      <b/>
      <sz val="11"/>
      <color rgb="FFFF0000"/>
      <name val="Century Gothic"/>
      <family val="2"/>
      <scheme val="minor"/>
    </font>
    <font>
      <sz val="11"/>
      <name val="Century Gothic"/>
      <family val="2"/>
      <scheme val="minor"/>
    </font>
    <font>
      <sz val="24"/>
      <color theme="1"/>
      <name val="Century Gothic"/>
      <family val="2"/>
      <scheme val="minor"/>
    </font>
    <font>
      <sz val="26"/>
      <color theme="1"/>
      <name val="Century Gothic"/>
      <family val="2"/>
      <scheme val="minor"/>
    </font>
    <font>
      <sz val="22"/>
      <color theme="1"/>
      <name val="Century Gothic"/>
      <family val="2"/>
      <scheme val="minor"/>
    </font>
    <font>
      <b/>
      <sz val="10"/>
      <color theme="1"/>
      <name val="Arial"/>
      <family val="2"/>
    </font>
    <font>
      <b/>
      <sz val="16"/>
      <color theme="0"/>
      <name val="Century Gothic"/>
      <family val="2"/>
      <scheme val="minor"/>
    </font>
    <font>
      <sz val="16"/>
      <color theme="1"/>
      <name val="Century Gothic"/>
      <family val="2"/>
      <scheme val="minor"/>
    </font>
    <font>
      <b/>
      <sz val="22"/>
      <color theme="1"/>
      <name val="Century Gothic"/>
      <family val="2"/>
      <scheme val="minor"/>
    </font>
    <font>
      <b/>
      <i/>
      <sz val="22"/>
      <color theme="1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b/>
      <i/>
      <sz val="12"/>
      <color theme="1"/>
      <name val="Century Gothic"/>
      <family val="2"/>
      <scheme val="minor"/>
    </font>
    <font>
      <b/>
      <sz val="15"/>
      <color theme="3"/>
      <name val="Century Gothic"/>
      <family val="2"/>
      <scheme val="minor"/>
    </font>
    <font>
      <b/>
      <sz val="16"/>
      <color theme="9" tint="-0.249977111117893"/>
      <name val="Century Gothic"/>
      <family val="2"/>
      <scheme val="minor"/>
    </font>
    <font>
      <sz val="18"/>
      <color theme="1"/>
      <name val="Century Gothic"/>
      <family val="2"/>
      <scheme val="minor"/>
    </font>
    <font>
      <b/>
      <i/>
      <sz val="18"/>
      <color theme="9" tint="-0.249977111117893"/>
      <name val="Century Gothic"/>
      <family val="2"/>
      <scheme val="minor"/>
    </font>
    <font>
      <b/>
      <sz val="16"/>
      <color theme="0"/>
      <name val="Calibri"/>
      <family val="2"/>
    </font>
    <font>
      <b/>
      <i/>
      <sz val="28"/>
      <color theme="9" tint="-0.249977111117893"/>
      <name val="Century Gothic"/>
      <family val="2"/>
      <scheme val="minor"/>
    </font>
    <font>
      <sz val="28"/>
      <color theme="1"/>
      <name val="Century Gothic"/>
      <family val="2"/>
      <scheme val="minor"/>
    </font>
    <font>
      <sz val="48"/>
      <color theme="1"/>
      <name val="Century Gothic"/>
      <family val="2"/>
      <scheme val="minor"/>
    </font>
    <font>
      <b/>
      <sz val="28"/>
      <color theme="1"/>
      <name val="Century Gothic"/>
      <family val="2"/>
      <scheme val="minor"/>
    </font>
    <font>
      <b/>
      <i/>
      <sz val="28"/>
      <color theme="1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8"/>
      <color theme="1"/>
      <name val="Century Gothic"/>
      <family val="2"/>
      <scheme val="minor"/>
    </font>
    <font>
      <sz val="22"/>
      <color theme="0"/>
      <name val="Century Gothic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0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0" fontId="5" fillId="6" borderId="0" applyNumberFormat="0" applyBorder="0" applyAlignment="0" applyProtection="0"/>
    <xf numFmtId="0" fontId="20" fillId="0" borderId="1" applyNumberFormat="0" applyFill="0" applyAlignment="0" applyProtection="0"/>
    <xf numFmtId="0" fontId="5" fillId="10" borderId="0" applyNumberFormat="0" applyBorder="0" applyAlignment="0" applyProtection="0"/>
  </cellStyleXfs>
  <cellXfs count="87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0" fontId="11" fillId="0" borderId="0" xfId="0" applyFont="1"/>
    <xf numFmtId="0" fontId="10" fillId="7" borderId="0" xfId="0" applyFont="1" applyFill="1"/>
    <xf numFmtId="0" fontId="13" fillId="0" borderId="0" xfId="0" applyFont="1" applyAlignment="1">
      <alignment wrapText="1"/>
    </xf>
    <xf numFmtId="0" fontId="12" fillId="7" borderId="0" xfId="0" applyFont="1" applyFill="1"/>
    <xf numFmtId="0" fontId="0" fillId="7" borderId="0" xfId="0" applyFill="1"/>
    <xf numFmtId="0" fontId="7" fillId="0" borderId="0" xfId="0" applyFont="1"/>
    <xf numFmtId="0" fontId="1" fillId="0" borderId="0" xfId="0" applyFont="1"/>
    <xf numFmtId="0" fontId="14" fillId="6" borderId="0" xfId="7" applyFont="1"/>
    <xf numFmtId="9" fontId="0" fillId="0" borderId="0" xfId="6" applyFont="1"/>
    <xf numFmtId="0" fontId="17" fillId="7" borderId="0" xfId="0" applyFont="1" applyFill="1"/>
    <xf numFmtId="0" fontId="18" fillId="7" borderId="0" xfId="0" applyFont="1" applyFill="1"/>
    <xf numFmtId="164" fontId="15" fillId="0" borderId="0" xfId="1" applyFont="1" applyBorder="1"/>
    <xf numFmtId="0" fontId="15" fillId="0" borderId="0" xfId="0" applyFont="1"/>
    <xf numFmtId="164" fontId="7" fillId="0" borderId="0" xfId="1" applyFont="1" applyBorder="1"/>
    <xf numFmtId="0" fontId="19" fillId="0" borderId="0" xfId="0" applyFont="1"/>
    <xf numFmtId="0" fontId="16" fillId="7" borderId="0" xfId="0" applyFont="1" applyFill="1"/>
    <xf numFmtId="9" fontId="0" fillId="0" borderId="0" xfId="0" applyNumberFormat="1"/>
    <xf numFmtId="0" fontId="20" fillId="8" borderId="1" xfId="8" applyFill="1"/>
    <xf numFmtId="0" fontId="21" fillId="0" borderId="0" xfId="0" applyFont="1"/>
    <xf numFmtId="9" fontId="21" fillId="0" borderId="0" xfId="6" applyFont="1"/>
    <xf numFmtId="166" fontId="21" fillId="0" borderId="0" xfId="0" applyNumberFormat="1" applyFont="1"/>
    <xf numFmtId="9" fontId="21" fillId="0" borderId="0" xfId="0" applyNumberFormat="1" applyFont="1"/>
    <xf numFmtId="0" fontId="22" fillId="0" borderId="0" xfId="0" applyFont="1"/>
    <xf numFmtId="0" fontId="23" fillId="0" borderId="0" xfId="0" applyFont="1"/>
    <xf numFmtId="9" fontId="21" fillId="7" borderId="0" xfId="6" applyFont="1" applyFill="1"/>
    <xf numFmtId="0" fontId="26" fillId="0" borderId="0" xfId="0" applyFont="1"/>
    <xf numFmtId="0" fontId="28" fillId="0" borderId="0" xfId="0" applyFont="1"/>
    <xf numFmtId="0" fontId="25" fillId="7" borderId="0" xfId="0" applyFont="1" applyFill="1"/>
    <xf numFmtId="0" fontId="29" fillId="7" borderId="0" xfId="0" applyFont="1" applyFill="1"/>
    <xf numFmtId="0" fontId="30" fillId="0" borderId="0" xfId="0" applyFont="1"/>
    <xf numFmtId="0" fontId="27" fillId="7" borderId="0" xfId="0" applyFont="1" applyFill="1"/>
    <xf numFmtId="0" fontId="1" fillId="7" borderId="0" xfId="0" applyFont="1" applyFill="1"/>
    <xf numFmtId="10" fontId="0" fillId="0" borderId="0" xfId="0" applyNumberFormat="1"/>
    <xf numFmtId="9" fontId="1" fillId="7" borderId="0" xfId="6" applyFont="1" applyFill="1"/>
    <xf numFmtId="0" fontId="20" fillId="7" borderId="1" xfId="8" applyFill="1"/>
    <xf numFmtId="0" fontId="31" fillId="0" borderId="0" xfId="0" applyFont="1"/>
    <xf numFmtId="0" fontId="0" fillId="9" borderId="0" xfId="0" applyFill="1"/>
    <xf numFmtId="0" fontId="32" fillId="0" borderId="0" xfId="0" applyFont="1"/>
    <xf numFmtId="9" fontId="1" fillId="0" borderId="0" xfId="6" applyFont="1"/>
    <xf numFmtId="0" fontId="12" fillId="0" borderId="0" xfId="0" applyFont="1"/>
    <xf numFmtId="0" fontId="0" fillId="11" borderId="0" xfId="0" applyFill="1"/>
    <xf numFmtId="0" fontId="12" fillId="9" borderId="0" xfId="0" applyFont="1" applyFill="1"/>
    <xf numFmtId="0" fontId="33" fillId="9" borderId="0" xfId="9" applyFont="1" applyFill="1"/>
    <xf numFmtId="167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10">
    <cellStyle name="60% - Accent1" xfId="3" builtinId="32"/>
    <cellStyle name="60% - Accent3" xfId="4" builtinId="40"/>
    <cellStyle name="60% - Accent4" xfId="7" builtinId="44"/>
    <cellStyle name="Accent1" xfId="9" builtinId="29"/>
    <cellStyle name="Accent6" xfId="5" builtinId="49"/>
    <cellStyle name="Comma" xfId="1" builtinId="3"/>
    <cellStyle name="Heading 1" xfId="8" builtinId="16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3</xdr:row>
      <xdr:rowOff>129540</xdr:rowOff>
    </xdr:from>
    <xdr:to>
      <xdr:col>7</xdr:col>
      <xdr:colOff>100330</xdr:colOff>
      <xdr:row>11</xdr:row>
      <xdr:rowOff>86042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929640"/>
          <a:ext cx="64770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14.972437268516" createdVersion="5" refreshedVersion="5" minRefreshableVersion="3" recordCount="7">
  <cacheSource type="worksheet">
    <worksheetSource ref="C172:C179" sheet="Sheet1"/>
  </cacheSource>
  <cacheFields count="1">
    <cacheField name="TERMINAL GROWTH /WACC" numFmtId="0">
      <sharedItems containsSemiMixedTypes="0" containsString="0" containsNumber="1" minValue="3.9999999999999994E-2" maxValue="95.5986812330884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n v="95.598681233088442"/>
  </r>
  <r>
    <n v="3.9999999999999994E-2"/>
  </r>
  <r>
    <n v="4.9999999999999996E-2"/>
  </r>
  <r>
    <n v="0.06"/>
  </r>
  <r>
    <n v="6.9999999999999993E-2"/>
  </r>
  <r>
    <n v="7.9999999999999988E-2"/>
  </r>
  <r>
    <n v="8.999999999999998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G3" sqref="G3:K3"/>
    </sheetView>
  </sheetViews>
  <sheetFormatPr defaultColWidth="8.69921875" defaultRowHeight="13.8" x14ac:dyDescent="0.25"/>
  <cols>
    <col min="1" max="1" width="20.59765625" style="6" customWidth="1"/>
    <col min="2" max="2" width="13.3984375" style="6" customWidth="1"/>
    <col min="3" max="3" width="1.19921875" style="6" customWidth="1"/>
    <col min="4" max="4" width="3.8984375" style="6" customWidth="1"/>
    <col min="5" max="5" width="3" style="6" customWidth="1"/>
    <col min="6" max="6" width="2.8984375" style="6" customWidth="1"/>
    <col min="7" max="7" width="14.69921875" style="6" customWidth="1"/>
    <col min="8" max="11" width="13.3984375" style="6" customWidth="1"/>
    <col min="12" max="12" width="13.296875" style="6" customWidth="1"/>
    <col min="13" max="14" width="12" style="6" customWidth="1"/>
    <col min="15" max="16384" width="8.69921875" style="6"/>
  </cols>
  <sheetData>
    <row r="1" spans="1:14" s="8" customFormat="1" x14ac:dyDescent="0.25">
      <c r="A1" s="8" t="str">
        <f>'Data Sheet'!B1</f>
        <v>ETERNAL LTD</v>
      </c>
      <c r="H1" t="str">
        <f>UPDATE</f>
        <v/>
      </c>
      <c r="J1" s="3"/>
      <c r="K1" s="3"/>
      <c r="M1" s="8" t="s">
        <v>1</v>
      </c>
    </row>
    <row r="3" spans="1:14" s="2" customFormat="1" x14ac:dyDescent="0.25">
      <c r="A3" s="15" t="s">
        <v>2</v>
      </c>
      <c r="B3" s="16">
        <f>'Data Sheet'!B16</f>
        <v>0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25">
      <c r="A4" s="8" t="s">
        <v>6</v>
      </c>
      <c r="B4" s="1">
        <f>'Data Sheet'!B17</f>
        <v>0</v>
      </c>
      <c r="C4" s="1">
        <f>'Data Sheet'!C17</f>
        <v>466.02</v>
      </c>
      <c r="D4" s="1">
        <f>'Data Sheet'!D17</f>
        <v>1312.59</v>
      </c>
      <c r="E4" s="1">
        <f>'Data Sheet'!E17</f>
        <v>2604.7399999999998</v>
      </c>
      <c r="F4" s="1">
        <f>'Data Sheet'!F17</f>
        <v>1993.8</v>
      </c>
      <c r="G4" s="1">
        <f>'Data Sheet'!G17</f>
        <v>4192.3999999999996</v>
      </c>
      <c r="H4" s="1">
        <f>'Data Sheet'!H17</f>
        <v>7079</v>
      </c>
      <c r="I4" s="1">
        <f>'Data Sheet'!I17</f>
        <v>12114</v>
      </c>
      <c r="J4" s="1">
        <f>'Data Sheet'!J17</f>
        <v>20243</v>
      </c>
      <c r="K4" s="1">
        <f>'Data Sheet'!K17</f>
        <v>54364</v>
      </c>
      <c r="L4" s="1">
        <f>SUM(Quarters!H4:K4)</f>
        <v>54364</v>
      </c>
      <c r="M4" s="1">
        <f>$K4+M23*K4</f>
        <v>145998.34490935138</v>
      </c>
      <c r="N4" s="1">
        <f>$K4+N23*L4</f>
        <v>92541.694711530537</v>
      </c>
    </row>
    <row r="5" spans="1:14" x14ac:dyDescent="0.25">
      <c r="A5" s="6" t="s">
        <v>7</v>
      </c>
      <c r="B5" s="9">
        <f>SUM('Data Sheet'!B18,'Data Sheet'!B20:B24, -1*'Data Sheet'!B19)</f>
        <v>0</v>
      </c>
      <c r="C5" s="9">
        <f>SUM('Data Sheet'!C18,'Data Sheet'!C20:C24, -1*'Data Sheet'!C19)</f>
        <v>558.47</v>
      </c>
      <c r="D5" s="9">
        <f>SUM('Data Sheet'!D18,'Data Sheet'!D20:D24, -1*'Data Sheet'!D19)</f>
        <v>3556.07</v>
      </c>
      <c r="E5" s="9">
        <f>SUM('Data Sheet'!E18,'Data Sheet'!E20:E24, -1*'Data Sheet'!E19)</f>
        <v>4909.4399999999996</v>
      </c>
      <c r="F5" s="9">
        <f>SUM('Data Sheet'!F18,'Data Sheet'!F20:F24, -1*'Data Sheet'!F19)</f>
        <v>2460.9</v>
      </c>
      <c r="G5" s="9">
        <f>SUM('Data Sheet'!G18,'Data Sheet'!G20:G24, -1*'Data Sheet'!G19)</f>
        <v>6043.2000000000007</v>
      </c>
      <c r="H5" s="9">
        <f>SUM('Data Sheet'!H18,'Data Sheet'!H20:H24, -1*'Data Sheet'!H19)</f>
        <v>8290</v>
      </c>
      <c r="I5" s="9">
        <f>SUM('Data Sheet'!I18,'Data Sheet'!I20:I24, -1*'Data Sheet'!I19)</f>
        <v>12071</v>
      </c>
      <c r="J5" s="9">
        <f>SUM('Data Sheet'!J18,'Data Sheet'!J20:J24, -1*'Data Sheet'!J19)</f>
        <v>19595</v>
      </c>
      <c r="K5" s="9">
        <f>SUM('Data Sheet'!K18,'Data Sheet'!K20:K24, -1*'Data Sheet'!K19)</f>
        <v>53156</v>
      </c>
      <c r="L5" s="9">
        <f>SUM(Quarters!H5:K5)</f>
        <v>53156</v>
      </c>
      <c r="M5" s="9">
        <f t="shared" ref="M5:N5" si="0">M4-M6</f>
        <v>142754.17596206095</v>
      </c>
      <c r="N5" s="9">
        <f t="shared" si="0"/>
        <v>90857.902089475581</v>
      </c>
    </row>
    <row r="6" spans="1:14" s="8" customFormat="1" x14ac:dyDescent="0.25">
      <c r="A6" s="8" t="s">
        <v>8</v>
      </c>
      <c r="B6" s="1">
        <f>B4-B5</f>
        <v>0</v>
      </c>
      <c r="C6" s="1">
        <f t="shared" ref="C6:K6" si="1">C4-C5</f>
        <v>-92.450000000000045</v>
      </c>
      <c r="D6" s="1">
        <f t="shared" si="1"/>
        <v>-2243.4800000000005</v>
      </c>
      <c r="E6" s="1">
        <f t="shared" si="1"/>
        <v>-2304.6999999999998</v>
      </c>
      <c r="F6" s="1">
        <f t="shared" si="1"/>
        <v>-467.10000000000014</v>
      </c>
      <c r="G6" s="1">
        <f t="shared" si="1"/>
        <v>-1850.8000000000011</v>
      </c>
      <c r="H6" s="1">
        <f t="shared" si="1"/>
        <v>-1211</v>
      </c>
      <c r="I6" s="1">
        <f t="shared" si="1"/>
        <v>43</v>
      </c>
      <c r="J6" s="1">
        <f t="shared" si="1"/>
        <v>648</v>
      </c>
      <c r="K6" s="1">
        <f t="shared" si="1"/>
        <v>1208</v>
      </c>
      <c r="L6" s="1">
        <f>SUM(Quarters!H6:K6)</f>
        <v>1208</v>
      </c>
      <c r="M6" s="1">
        <f>M4*M24</f>
        <v>3244.1689472904213</v>
      </c>
      <c r="N6" s="1">
        <f>N4*N24</f>
        <v>1683.7926220549621</v>
      </c>
    </row>
    <row r="7" spans="1:14" x14ac:dyDescent="0.25">
      <c r="A7" s="6" t="s">
        <v>9</v>
      </c>
      <c r="B7" s="9">
        <f>'Data Sheet'!B25</f>
        <v>0</v>
      </c>
      <c r="C7" s="9">
        <f>'Data Sheet'!C25</f>
        <v>21.03</v>
      </c>
      <c r="D7" s="9">
        <f>'Data Sheet'!D25</f>
        <v>1285.05</v>
      </c>
      <c r="E7" s="9">
        <f>'Data Sheet'!E25</f>
        <v>15.97</v>
      </c>
      <c r="F7" s="9">
        <f>'Data Sheet'!F25</f>
        <v>-200.2</v>
      </c>
      <c r="G7" s="9">
        <f>'Data Sheet'!G25</f>
        <v>792.6</v>
      </c>
      <c r="H7" s="9">
        <f>'Data Sheet'!H25</f>
        <v>682</v>
      </c>
      <c r="I7" s="9">
        <f>'Data Sheet'!I25</f>
        <v>846</v>
      </c>
      <c r="J7" s="9">
        <f>'Data Sheet'!J25</f>
        <v>1066</v>
      </c>
      <c r="K7" s="9">
        <f>'Data Sheet'!K25</f>
        <v>1396</v>
      </c>
      <c r="L7" s="9">
        <f>SUM(Quarters!H7:K7)</f>
        <v>1396</v>
      </c>
      <c r="M7" s="9">
        <v>0</v>
      </c>
      <c r="N7" s="9">
        <v>0</v>
      </c>
    </row>
    <row r="8" spans="1:14" x14ac:dyDescent="0.25">
      <c r="A8" s="6" t="s">
        <v>10</v>
      </c>
      <c r="B8" s="9">
        <f>'Data Sheet'!B26</f>
        <v>0</v>
      </c>
      <c r="C8" s="9">
        <f>'Data Sheet'!C26</f>
        <v>29.15</v>
      </c>
      <c r="D8" s="9">
        <f>'Data Sheet'!D26</f>
        <v>43.12</v>
      </c>
      <c r="E8" s="9">
        <f>'Data Sheet'!E26</f>
        <v>84.24</v>
      </c>
      <c r="F8" s="9">
        <f>'Data Sheet'!F26</f>
        <v>137.69999999999999</v>
      </c>
      <c r="G8" s="9">
        <f>'Data Sheet'!G26</f>
        <v>150.30000000000001</v>
      </c>
      <c r="H8" s="9">
        <f>'Data Sheet'!H26</f>
        <v>437</v>
      </c>
      <c r="I8" s="9">
        <f>'Data Sheet'!I26</f>
        <v>526</v>
      </c>
      <c r="J8" s="9">
        <f>'Data Sheet'!J26</f>
        <v>863</v>
      </c>
      <c r="K8" s="9">
        <f>'Data Sheet'!K26</f>
        <v>1597</v>
      </c>
      <c r="L8" s="9">
        <f>SUM(Quarters!H8:K8)</f>
        <v>1597</v>
      </c>
      <c r="M8" s="9">
        <f>+$L8</f>
        <v>1597</v>
      </c>
      <c r="N8" s="9">
        <f>+$L8</f>
        <v>1597</v>
      </c>
    </row>
    <row r="9" spans="1:14" x14ac:dyDescent="0.25">
      <c r="A9" s="6" t="s">
        <v>11</v>
      </c>
      <c r="B9" s="9">
        <f>'Data Sheet'!B27</f>
        <v>0</v>
      </c>
      <c r="C9" s="9">
        <f>'Data Sheet'!C27</f>
        <v>6.35</v>
      </c>
      <c r="D9" s="9">
        <f>'Data Sheet'!D27</f>
        <v>8.69</v>
      </c>
      <c r="E9" s="9">
        <f>'Data Sheet'!E27</f>
        <v>12.64</v>
      </c>
      <c r="F9" s="9">
        <f>'Data Sheet'!F27</f>
        <v>10.1</v>
      </c>
      <c r="G9" s="9">
        <f>'Data Sheet'!G27</f>
        <v>12</v>
      </c>
      <c r="H9" s="9">
        <f>'Data Sheet'!H27</f>
        <v>49</v>
      </c>
      <c r="I9" s="9">
        <f>'Data Sheet'!I27</f>
        <v>72</v>
      </c>
      <c r="J9" s="9">
        <f>'Data Sheet'!J27</f>
        <v>154</v>
      </c>
      <c r="K9" s="9">
        <f>'Data Sheet'!K27</f>
        <v>392</v>
      </c>
      <c r="L9" s="9">
        <f>SUM(Quarters!H9:K9)</f>
        <v>392</v>
      </c>
      <c r="M9" s="9">
        <f>+$L9</f>
        <v>392</v>
      </c>
      <c r="N9" s="9">
        <f>+$L9</f>
        <v>392</v>
      </c>
    </row>
    <row r="10" spans="1:14" x14ac:dyDescent="0.25">
      <c r="A10" s="6" t="s">
        <v>12</v>
      </c>
      <c r="B10" s="9">
        <f>'Data Sheet'!B28</f>
        <v>0</v>
      </c>
      <c r="C10" s="9">
        <f>'Data Sheet'!C28</f>
        <v>-106.92</v>
      </c>
      <c r="D10" s="9">
        <f>'Data Sheet'!D28</f>
        <v>-1010.24</v>
      </c>
      <c r="E10" s="9">
        <f>'Data Sheet'!E28</f>
        <v>-2385.61</v>
      </c>
      <c r="F10" s="9">
        <f>'Data Sheet'!F28</f>
        <v>-815.1</v>
      </c>
      <c r="G10" s="9">
        <f>'Data Sheet'!G28</f>
        <v>-1220.5</v>
      </c>
      <c r="H10" s="9">
        <f>'Data Sheet'!H28</f>
        <v>-1015</v>
      </c>
      <c r="I10" s="9">
        <f>'Data Sheet'!I28</f>
        <v>291</v>
      </c>
      <c r="J10" s="9">
        <f>'Data Sheet'!J28</f>
        <v>697</v>
      </c>
      <c r="K10" s="9">
        <f>'Data Sheet'!K28</f>
        <v>615</v>
      </c>
      <c r="L10" s="9">
        <f>SUM(Quarters!H10:K10)</f>
        <v>615</v>
      </c>
      <c r="M10" s="9">
        <f>M6+M7-SUM(M8:M9)</f>
        <v>1255.1689472904213</v>
      </c>
      <c r="N10" s="9">
        <f>N6+N7-SUM(N8:N9)</f>
        <v>-305.20737794503793</v>
      </c>
    </row>
    <row r="11" spans="1:14" x14ac:dyDescent="0.25">
      <c r="A11" s="6" t="s">
        <v>13</v>
      </c>
      <c r="B11" s="9">
        <f>'Data Sheet'!B29</f>
        <v>0</v>
      </c>
      <c r="C11" s="9">
        <f>'Data Sheet'!C29</f>
        <v>0</v>
      </c>
      <c r="D11" s="9">
        <f>'Data Sheet'!D29</f>
        <v>0</v>
      </c>
      <c r="E11" s="9">
        <f>'Data Sheet'!E29</f>
        <v>0</v>
      </c>
      <c r="F11" s="9">
        <f>'Data Sheet'!F29</f>
        <v>1.3</v>
      </c>
      <c r="G11" s="9">
        <f>'Data Sheet'!G29</f>
        <v>2</v>
      </c>
      <c r="H11" s="9">
        <f>'Data Sheet'!H29</f>
        <v>-44</v>
      </c>
      <c r="I11" s="9">
        <f>'Data Sheet'!I29</f>
        <v>-60</v>
      </c>
      <c r="J11" s="9">
        <f>'Data Sheet'!J29</f>
        <v>170</v>
      </c>
      <c r="K11" s="9">
        <f>'Data Sheet'!K29</f>
        <v>249</v>
      </c>
      <c r="L11" s="9">
        <f>SUM(Quarters!H11:K11)</f>
        <v>249</v>
      </c>
      <c r="M11" s="10">
        <f>IF($L10&gt;0,$L11/$L10,0)</f>
        <v>0.40487804878048783</v>
      </c>
      <c r="N11" s="10">
        <f>IF($L10&gt;0,$L11/$L10,0)</f>
        <v>0.40487804878048783</v>
      </c>
    </row>
    <row r="12" spans="1:14" s="8" customFormat="1" x14ac:dyDescent="0.25">
      <c r="A12" s="8" t="s">
        <v>14</v>
      </c>
      <c r="B12" s="1">
        <f>'Data Sheet'!B30</f>
        <v>0</v>
      </c>
      <c r="C12" s="1">
        <f>'Data Sheet'!C30</f>
        <v>-103.68</v>
      </c>
      <c r="D12" s="1">
        <f>'Data Sheet'!D30</f>
        <v>-964.95</v>
      </c>
      <c r="E12" s="1">
        <f>'Data Sheet'!E30</f>
        <v>-2367.16</v>
      </c>
      <c r="F12" s="1">
        <f>'Data Sheet'!F30</f>
        <v>-812.8</v>
      </c>
      <c r="G12" s="1">
        <f>'Data Sheet'!G30</f>
        <v>-1208.7</v>
      </c>
      <c r="H12" s="1">
        <f>'Data Sheet'!H30</f>
        <v>-971</v>
      </c>
      <c r="I12" s="1">
        <f>'Data Sheet'!I30</f>
        <v>351</v>
      </c>
      <c r="J12" s="1">
        <f>'Data Sheet'!J30</f>
        <v>527</v>
      </c>
      <c r="K12" s="1">
        <f>'Data Sheet'!K30</f>
        <v>366</v>
      </c>
      <c r="L12" s="1">
        <f>SUM(Quarters!H12:K12)</f>
        <v>366</v>
      </c>
      <c r="M12" s="1">
        <f>M10-M11*M10</f>
        <v>746.97859302161658</v>
      </c>
      <c r="N12" s="1">
        <f>N10-N11*N10</f>
        <v>-181.63561028924209</v>
      </c>
    </row>
    <row r="13" spans="1:14" x14ac:dyDescent="0.25">
      <c r="A13" s="11" t="s">
        <v>57</v>
      </c>
      <c r="B13" s="9">
        <f>IF('Data Sheet'!B93&gt;0,B12/'Data Sheet'!B93,0)</f>
        <v>0</v>
      </c>
      <c r="C13" s="9">
        <f>IF('Data Sheet'!C93&gt;0,C12/'Data Sheet'!C93,0)</f>
        <v>-3456.0000000000005</v>
      </c>
      <c r="D13" s="9">
        <f>IF('Data Sheet'!D93&gt;0,D12/'Data Sheet'!D93,0)</f>
        <v>-32165.000000000004</v>
      </c>
      <c r="E13" s="9">
        <f>IF('Data Sheet'!E93&gt;0,E12/'Data Sheet'!E93,0)</f>
        <v>-78905.333333333328</v>
      </c>
      <c r="F13" s="9">
        <f>IF('Data Sheet'!F93&gt;0,F12/'Data Sheet'!F93,0)</f>
        <v>-20320</v>
      </c>
      <c r="G13" s="9">
        <f>IF('Data Sheet'!G93&gt;0,G12/'Data Sheet'!G93,0)</f>
        <v>-1.5354615785261498</v>
      </c>
      <c r="H13" s="9">
        <f>IF('Data Sheet'!H93&gt;0,H12/'Data Sheet'!H93,0)</f>
        <v>-1.1352078096685567</v>
      </c>
      <c r="I13" s="9">
        <f>IF('Data Sheet'!I93&gt;0,I12/'Data Sheet'!I93,0)</f>
        <v>0.39796820789587067</v>
      </c>
      <c r="J13" s="9">
        <f>IF('Data Sheet'!J93&gt;0,J12/'Data Sheet'!J93,0)</f>
        <v>0.54609135372627038</v>
      </c>
      <c r="K13" s="9">
        <f>IF('Data Sheet'!K93&gt;0,K12/'Data Sheet'!K93,0)</f>
        <v>0.37925889082317832</v>
      </c>
      <c r="L13" s="9">
        <f>IF('Data Sheet'!$B6&gt;0,'Profit &amp; Loss'!L12/'Data Sheet'!$B6,0)</f>
        <v>0.37926079808423452</v>
      </c>
      <c r="M13" s="9">
        <f>IF('Data Sheet'!$B6&gt;0,'Profit &amp; Loss'!M12/'Data Sheet'!$B6,0)</f>
        <v>0.77404288891042872</v>
      </c>
      <c r="N13" s="9">
        <f>IF('Data Sheet'!$B6&gt;0,'Profit &amp; Loss'!N12/'Data Sheet'!$B6,0)</f>
        <v>-0.18821657518801901</v>
      </c>
    </row>
    <row r="14" spans="1:14" x14ac:dyDescent="0.25">
      <c r="A14" s="6" t="s">
        <v>16</v>
      </c>
      <c r="B14" s="9" t="str">
        <f t="shared" ref="B14:K14" si="2">IF(B15&gt;0,B15/B13,"")</f>
        <v/>
      </c>
      <c r="C14" s="9" t="str">
        <f t="shared" si="2"/>
        <v/>
      </c>
      <c r="D14" s="9" t="str">
        <f t="shared" si="2"/>
        <v/>
      </c>
      <c r="E14" s="9" t="str">
        <f t="shared" si="2"/>
        <v/>
      </c>
      <c r="F14" s="9" t="str">
        <f t="shared" si="2"/>
        <v/>
      </c>
      <c r="G14" s="9">
        <f t="shared" si="2"/>
        <v>-53.599517663605532</v>
      </c>
      <c r="H14" s="9">
        <f t="shared" si="2"/>
        <v>-44.92569515962925</v>
      </c>
      <c r="I14" s="9">
        <f t="shared" si="2"/>
        <v>457.5742393162393</v>
      </c>
      <c r="J14" s="9">
        <f t="shared" si="2"/>
        <v>369.35212144212522</v>
      </c>
      <c r="K14" s="9">
        <f t="shared" si="2"/>
        <v>603.75644590163927</v>
      </c>
      <c r="L14" s="9">
        <f>IF(L13&gt;0,L15/L13,0)</f>
        <v>695.43174863387969</v>
      </c>
      <c r="M14" s="9">
        <f>M25</f>
        <v>695.43174863387969</v>
      </c>
      <c r="N14" s="9">
        <f>N25</f>
        <v>531.52863882347083</v>
      </c>
    </row>
    <row r="15" spans="1:14" s="8" customFormat="1" x14ac:dyDescent="0.25">
      <c r="A15" s="8" t="s">
        <v>58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0</v>
      </c>
      <c r="F15" s="1">
        <f>'Data Sheet'!F90</f>
        <v>0</v>
      </c>
      <c r="G15" s="1">
        <f>'Data Sheet'!G90</f>
        <v>82.3</v>
      </c>
      <c r="H15" s="1">
        <f>'Data Sheet'!H90</f>
        <v>51</v>
      </c>
      <c r="I15" s="1">
        <f>'Data Sheet'!I90</f>
        <v>182.1</v>
      </c>
      <c r="J15" s="1">
        <f>'Data Sheet'!J90</f>
        <v>201.7</v>
      </c>
      <c r="K15" s="1">
        <f>'Data Sheet'!K90</f>
        <v>228.98</v>
      </c>
      <c r="L15" s="1">
        <f>'Data Sheet'!B8</f>
        <v>263.75</v>
      </c>
      <c r="M15" s="12">
        <f>M13*M14</f>
        <v>538.29399975259935</v>
      </c>
      <c r="N15" s="13">
        <f>N13*N14</f>
        <v>-100.0425000137032</v>
      </c>
    </row>
    <row r="17" spans="1:14" s="8" customFormat="1" x14ac:dyDescent="0.25">
      <c r="A17" s="8" t="s">
        <v>15</v>
      </c>
    </row>
    <row r="18" spans="1:14" x14ac:dyDescent="0.25">
      <c r="A18" s="6" t="s">
        <v>17</v>
      </c>
      <c r="B18" s="7">
        <f>IF('Data Sheet'!B30&gt;0, 'Data Sheet'!B31/'Data Sheet'!B30, 0)</f>
        <v>0</v>
      </c>
      <c r="C18" s="7">
        <f>IF('Data Sheet'!C30&gt;0, 'Data Sheet'!C31/'Data Sheet'!C30, 0)</f>
        <v>0</v>
      </c>
      <c r="D18" s="7">
        <f>IF('Data Sheet'!D30&gt;0, 'Data Sheet'!D31/'Data Sheet'!D30, 0)</f>
        <v>0</v>
      </c>
      <c r="E18" s="7">
        <f>IF('Data Sheet'!E30&gt;0, 'Data Sheet'!E31/'Data Sheet'!E30, 0)</f>
        <v>0</v>
      </c>
      <c r="F18" s="7">
        <f>IF('Data Sheet'!F30&gt;0, 'Data Sheet'!F31/'Data Sheet'!F30, 0)</f>
        <v>0</v>
      </c>
      <c r="G18" s="7">
        <f>IF('Data Sheet'!G30&gt;0, 'Data Sheet'!G31/'Data Sheet'!G30, 0)</f>
        <v>0</v>
      </c>
      <c r="H18" s="7">
        <f>IF('Data Sheet'!H30&gt;0, 'Data Sheet'!H31/'Data Sheet'!H30, 0)</f>
        <v>0</v>
      </c>
      <c r="I18" s="7">
        <f>IF('Data Sheet'!I30&gt;0, 'Data Sheet'!I31/'Data Sheet'!I30, 0)</f>
        <v>0</v>
      </c>
      <c r="J18" s="7">
        <f>IF('Data Sheet'!J30&gt;0, 'Data Sheet'!J31/'Data Sheet'!J30, 0)</f>
        <v>0</v>
      </c>
      <c r="K18" s="7">
        <f>IF('Data Sheet'!K30&gt;0, 'Data Sheet'!K31/'Data Sheet'!K30, 0)</f>
        <v>0</v>
      </c>
    </row>
    <row r="19" spans="1:14" x14ac:dyDescent="0.25">
      <c r="A19" s="6" t="s">
        <v>18</v>
      </c>
      <c r="B19" s="7">
        <f t="shared" ref="B19:L19" si="3">IF(B6&gt;0,B6/B4,0)</f>
        <v>0</v>
      </c>
      <c r="C19" s="7">
        <f t="shared" si="3"/>
        <v>0</v>
      </c>
      <c r="D19" s="7">
        <f t="shared" si="3"/>
        <v>0</v>
      </c>
      <c r="E19" s="7">
        <f t="shared" si="3"/>
        <v>0</v>
      </c>
      <c r="F19" s="7">
        <f t="shared" si="3"/>
        <v>0</v>
      </c>
      <c r="G19" s="7">
        <f t="shared" si="3"/>
        <v>0</v>
      </c>
      <c r="H19" s="7">
        <f t="shared" si="3"/>
        <v>0</v>
      </c>
      <c r="I19" s="7">
        <f t="shared" si="3"/>
        <v>3.549612019151395E-3</v>
      </c>
      <c r="J19" s="7">
        <f t="shared" si="3"/>
        <v>3.2011065553524676E-2</v>
      </c>
      <c r="K19" s="7">
        <f t="shared" si="3"/>
        <v>2.222058715326319E-2</v>
      </c>
      <c r="L19" s="7">
        <f t="shared" si="3"/>
        <v>2.222058715326319E-2</v>
      </c>
    </row>
    <row r="20" spans="1:1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5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5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  <v/>
      </c>
      <c r="I23" s="7">
        <f>IF(D4=0,"",POWER($K4/D4,1/7)-1)</f>
        <v>0.70226058994059559</v>
      </c>
      <c r="J23" s="7">
        <f>IF(F4=0,"",POWER($K4/F4,1/5)-1)</f>
        <v>0.93698368369589136</v>
      </c>
      <c r="K23" s="7">
        <f>IF(H4=0,"",POWER($K4/H4, 1/3)-1)</f>
        <v>0.97293675595911733</v>
      </c>
      <c r="L23" s="7">
        <f>IF(ISERROR(MAX(IF(J4=0,"",(K4-J4)/J4),IF(K4=0,"",(L4-K4)/K4))),"",MAX(IF(J4=0,"",(K4-J4)/J4),IF(K4=0,"",(L4-K4)/K4)))</f>
        <v>1.6855703206046535</v>
      </c>
      <c r="M23" s="22">
        <f>MAX(K23:L23)</f>
        <v>1.6855703206046535</v>
      </c>
      <c r="N23" s="22">
        <f>MIN(H23:L23)</f>
        <v>0.70226058994059559</v>
      </c>
    </row>
    <row r="24" spans="1:14" x14ac:dyDescent="0.25">
      <c r="G24" s="6" t="s">
        <v>18</v>
      </c>
      <c r="H24" s="7">
        <f>IF(SUM(B4:$K$4)=0,"",SUMPRODUCT(B19:$K$19,B4:$K$4)/SUM(B4:$K$4))</f>
        <v>1.8194962036341057E-2</v>
      </c>
      <c r="I24" s="7">
        <f>IF(SUM(E4:$K$4)=0,"",SUMPRODUCT(E19:$K$19,E4:$K$4)/SUM(E4:$K$4))</f>
        <v>1.8510406474489854E-2</v>
      </c>
      <c r="J24" s="7">
        <f>IF(SUM(G4:$K$4)=0,"",SUMPRODUCT(G19:$K$19,G4:$K$4)/SUM(G4:$K$4))</f>
        <v>1.9379053885811553E-2</v>
      </c>
      <c r="K24" s="7">
        <f>IF(SUM(I4:$K$4)=0, "", SUMPRODUCT(I19:$K$19,I4:$K$4)/SUM(I4:$K$4))</f>
        <v>2.1897810218978103E-2</v>
      </c>
      <c r="L24" s="7">
        <f>L19</f>
        <v>2.222058715326319E-2</v>
      </c>
      <c r="M24" s="22">
        <f>MAX(K24:L24)</f>
        <v>2.222058715326319E-2</v>
      </c>
      <c r="N24" s="22">
        <f>MIN(H24:L24)</f>
        <v>1.8194962036341057E-2</v>
      </c>
    </row>
    <row r="25" spans="1:14" x14ac:dyDescent="0.25">
      <c r="G25" s="6" t="s">
        <v>23</v>
      </c>
      <c r="H25" s="9">
        <f>IF(ISERROR(AVERAGEIF(B14:$L14,"&gt;0")),"",AVERAGEIF(B14:$L14,"&gt;0"))</f>
        <v>531.52863882347083</v>
      </c>
      <c r="I25" s="9">
        <f>IF(ISERROR(AVERAGEIF(E14:$L14,"&gt;0")),"",AVERAGEIF(E14:$L14,"&gt;0"))</f>
        <v>531.52863882347083</v>
      </c>
      <c r="J25" s="9">
        <f>IF(ISERROR(AVERAGEIF(G14:$L14,"&gt;0")),"",AVERAGEIF(G14:$L14,"&gt;0"))</f>
        <v>531.52863882347083</v>
      </c>
      <c r="K25" s="9">
        <f>IF(ISERROR(AVERAGEIF(I14:$L14,"&gt;0")),"",AVERAGEIF(I14:$L14,"&gt;0"))</f>
        <v>531.52863882347083</v>
      </c>
      <c r="L25" s="9">
        <f>L14</f>
        <v>695.43174863387969</v>
      </c>
      <c r="M25" s="1">
        <f>MAX(K25:L25)</f>
        <v>695.43174863387969</v>
      </c>
      <c r="N25" s="1">
        <f>MIN(H25:L25)</f>
        <v>531.52863882347083</v>
      </c>
    </row>
  </sheetData>
  <hyperlinks>
    <hyperlink ref="M1" r:id="rId1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37"/>
  <sheetViews>
    <sheetView zoomScale="150" workbookViewId="0">
      <pane xSplit="1" ySplit="3" topLeftCell="D34" activePane="bottomRight" state="frozen"/>
      <selection pane="topRight" activeCell="B1" sqref="B1"/>
      <selection pane="bottomLeft" activeCell="A4" sqref="A4"/>
      <selection pane="bottomRight" activeCell="E37" sqref="E37"/>
    </sheetView>
  </sheetViews>
  <sheetFormatPr defaultColWidth="8.69921875" defaultRowHeight="13.8" x14ac:dyDescent="0.25"/>
  <cols>
    <col min="1" max="1" width="20.59765625" style="6" customWidth="1"/>
    <col min="2" max="4" width="13.3984375" style="6" customWidth="1"/>
    <col min="5" max="5" width="52.09765625" style="6" customWidth="1"/>
    <col min="6" max="11" width="13.3984375" style="6" customWidth="1"/>
    <col min="12" max="16384" width="8.69921875" style="6"/>
  </cols>
  <sheetData>
    <row r="1" spans="1:11" s="8" customFormat="1" x14ac:dyDescent="0.25">
      <c r="A1" s="8" t="str">
        <f>'Profit &amp; Loss'!A1</f>
        <v>ETERNAL LTD</v>
      </c>
      <c r="E1" t="str">
        <f>UPDATE</f>
        <v/>
      </c>
      <c r="J1" s="4" t="s">
        <v>1</v>
      </c>
      <c r="K1" s="4"/>
    </row>
    <row r="3" spans="1:11" s="2" customFormat="1" x14ac:dyDescent="0.25">
      <c r="A3" s="15" t="s">
        <v>2</v>
      </c>
      <c r="B3" s="16">
        <f>'Data Sheet'!B41</f>
        <v>45291</v>
      </c>
      <c r="C3" s="16">
        <f>'Data Sheet'!C41</f>
        <v>45382</v>
      </c>
      <c r="D3" s="16">
        <f>'Data Sheet'!D41</f>
        <v>45473</v>
      </c>
      <c r="E3" s="16">
        <f>'Data Sheet'!E41</f>
        <v>45565</v>
      </c>
      <c r="F3" s="16">
        <f>'Data Sheet'!F41</f>
        <v>45657</v>
      </c>
      <c r="G3" s="16">
        <f>'Data Sheet'!G41</f>
        <v>45747</v>
      </c>
      <c r="H3" s="16">
        <f>'Data Sheet'!H41</f>
        <v>45838</v>
      </c>
      <c r="I3" s="16">
        <f>'Data Sheet'!I41</f>
        <v>45930</v>
      </c>
      <c r="J3" s="16">
        <f>'Data Sheet'!J41</f>
        <v>46022</v>
      </c>
      <c r="K3" s="16">
        <f>'Data Sheet'!K41</f>
        <v>46112</v>
      </c>
    </row>
    <row r="4" spans="1:11" s="8" customFormat="1" x14ac:dyDescent="0.25">
      <c r="A4" s="8" t="s">
        <v>6</v>
      </c>
      <c r="B4" s="1">
        <f>'Data Sheet'!B42</f>
        <v>3288</v>
      </c>
      <c r="C4" s="1">
        <f>'Data Sheet'!C42</f>
        <v>3562</v>
      </c>
      <c r="D4" s="1">
        <f>'Data Sheet'!D42</f>
        <v>4206</v>
      </c>
      <c r="E4" s="1">
        <f>'Data Sheet'!E42</f>
        <v>4799</v>
      </c>
      <c r="F4" s="1">
        <f>'Data Sheet'!F42</f>
        <v>5405</v>
      </c>
      <c r="G4" s="1">
        <f>'Data Sheet'!G42</f>
        <v>5833</v>
      </c>
      <c r="H4" s="1">
        <f>'Data Sheet'!H42</f>
        <v>7167</v>
      </c>
      <c r="I4" s="1">
        <f>'Data Sheet'!I42</f>
        <v>13590</v>
      </c>
      <c r="J4" s="1">
        <f>'Data Sheet'!J42</f>
        <v>16315</v>
      </c>
      <c r="K4" s="1">
        <f>'Data Sheet'!K42</f>
        <v>17292</v>
      </c>
    </row>
    <row r="5" spans="1:11" x14ac:dyDescent="0.25">
      <c r="A5" s="6" t="s">
        <v>7</v>
      </c>
      <c r="B5" s="9">
        <f>'Data Sheet'!B43</f>
        <v>3237</v>
      </c>
      <c r="C5" s="9">
        <f>'Data Sheet'!C43</f>
        <v>3476</v>
      </c>
      <c r="D5" s="9">
        <f>'Data Sheet'!D43</f>
        <v>4029</v>
      </c>
      <c r="E5" s="9">
        <f>'Data Sheet'!E43</f>
        <v>4573</v>
      </c>
      <c r="F5" s="9">
        <f>'Data Sheet'!F43</f>
        <v>5243</v>
      </c>
      <c r="G5" s="9">
        <f>'Data Sheet'!G43</f>
        <v>5761</v>
      </c>
      <c r="H5" s="9">
        <f>'Data Sheet'!H43</f>
        <v>7052</v>
      </c>
      <c r="I5" s="9">
        <f>'Data Sheet'!I43</f>
        <v>13351</v>
      </c>
      <c r="J5" s="9">
        <f>'Data Sheet'!J43</f>
        <v>15947</v>
      </c>
      <c r="K5" s="9">
        <f>'Data Sheet'!K43</f>
        <v>16806</v>
      </c>
    </row>
    <row r="6" spans="1:11" s="8" customFormat="1" x14ac:dyDescent="0.25">
      <c r="A6" s="8" t="s">
        <v>8</v>
      </c>
      <c r="B6" s="1">
        <f>'Data Sheet'!B50</f>
        <v>51</v>
      </c>
      <c r="C6" s="1">
        <f>'Data Sheet'!C50</f>
        <v>86</v>
      </c>
      <c r="D6" s="1">
        <f>'Data Sheet'!D50</f>
        <v>177</v>
      </c>
      <c r="E6" s="1">
        <f>'Data Sheet'!E50</f>
        <v>226</v>
      </c>
      <c r="F6" s="1">
        <f>'Data Sheet'!F50</f>
        <v>162</v>
      </c>
      <c r="G6" s="1">
        <f>'Data Sheet'!G50</f>
        <v>72</v>
      </c>
      <c r="H6" s="1">
        <f>'Data Sheet'!H50</f>
        <v>115</v>
      </c>
      <c r="I6" s="1">
        <f>'Data Sheet'!I50</f>
        <v>239</v>
      </c>
      <c r="J6" s="1">
        <f>'Data Sheet'!J50</f>
        <v>368</v>
      </c>
      <c r="K6" s="1">
        <f>'Data Sheet'!K50</f>
        <v>486</v>
      </c>
    </row>
    <row r="7" spans="1:11" x14ac:dyDescent="0.25">
      <c r="A7" s="6" t="s">
        <v>9</v>
      </c>
      <c r="B7" s="9">
        <f>'Data Sheet'!B44</f>
        <v>219</v>
      </c>
      <c r="C7" s="9">
        <f>'Data Sheet'!C44</f>
        <v>235</v>
      </c>
      <c r="D7" s="9">
        <f>'Data Sheet'!D44</f>
        <v>236</v>
      </c>
      <c r="E7" s="9">
        <f>'Data Sheet'!E44</f>
        <v>221</v>
      </c>
      <c r="F7" s="9">
        <f>'Data Sheet'!F44</f>
        <v>252</v>
      </c>
      <c r="G7" s="9">
        <f>'Data Sheet'!G44</f>
        <v>368</v>
      </c>
      <c r="H7" s="9">
        <f>'Data Sheet'!H44</f>
        <v>354</v>
      </c>
      <c r="I7" s="9">
        <f>'Data Sheet'!I44</f>
        <v>352</v>
      </c>
      <c r="J7" s="9">
        <f>'Data Sheet'!J44</f>
        <v>348</v>
      </c>
      <c r="K7" s="9">
        <f>'Data Sheet'!K44</f>
        <v>342</v>
      </c>
    </row>
    <row r="8" spans="1:11" x14ac:dyDescent="0.25">
      <c r="A8" s="6" t="s">
        <v>10</v>
      </c>
      <c r="B8" s="9">
        <f>'Data Sheet'!B45</f>
        <v>128</v>
      </c>
      <c r="C8" s="9">
        <f>'Data Sheet'!C45</f>
        <v>140</v>
      </c>
      <c r="D8" s="9">
        <f>'Data Sheet'!D45</f>
        <v>149</v>
      </c>
      <c r="E8" s="9">
        <f>'Data Sheet'!E45</f>
        <v>180</v>
      </c>
      <c r="F8" s="9">
        <f>'Data Sheet'!F45</f>
        <v>247</v>
      </c>
      <c r="G8" s="9">
        <f>'Data Sheet'!G45</f>
        <v>287</v>
      </c>
      <c r="H8" s="9">
        <f>'Data Sheet'!H45</f>
        <v>314</v>
      </c>
      <c r="I8" s="9">
        <f>'Data Sheet'!I45</f>
        <v>376</v>
      </c>
      <c r="J8" s="9">
        <f>'Data Sheet'!J45</f>
        <v>439</v>
      </c>
      <c r="K8" s="9">
        <f>'Data Sheet'!K45</f>
        <v>468</v>
      </c>
    </row>
    <row r="9" spans="1:11" x14ac:dyDescent="0.25">
      <c r="A9" s="6" t="s">
        <v>11</v>
      </c>
      <c r="B9" s="9">
        <f>'Data Sheet'!B46</f>
        <v>18</v>
      </c>
      <c r="C9" s="9">
        <f>'Data Sheet'!C46</f>
        <v>20</v>
      </c>
      <c r="D9" s="9">
        <f>'Data Sheet'!D46</f>
        <v>25</v>
      </c>
      <c r="E9" s="9">
        <f>'Data Sheet'!E46</f>
        <v>30</v>
      </c>
      <c r="F9" s="9">
        <f>'Data Sheet'!F46</f>
        <v>43</v>
      </c>
      <c r="G9" s="9">
        <f>'Data Sheet'!G46</f>
        <v>56</v>
      </c>
      <c r="H9" s="9">
        <f>'Data Sheet'!H46</f>
        <v>67</v>
      </c>
      <c r="I9" s="9">
        <f>'Data Sheet'!I46</f>
        <v>86</v>
      </c>
      <c r="J9" s="9">
        <f>'Data Sheet'!J46</f>
        <v>107</v>
      </c>
      <c r="K9" s="9">
        <f>'Data Sheet'!K46</f>
        <v>132</v>
      </c>
    </row>
    <row r="10" spans="1:11" x14ac:dyDescent="0.25">
      <c r="A10" s="6" t="s">
        <v>12</v>
      </c>
      <c r="B10" s="9">
        <f>'Data Sheet'!B47</f>
        <v>124</v>
      </c>
      <c r="C10" s="9">
        <f>'Data Sheet'!C47</f>
        <v>161</v>
      </c>
      <c r="D10" s="9">
        <f>'Data Sheet'!D47</f>
        <v>239</v>
      </c>
      <c r="E10" s="9">
        <f>'Data Sheet'!E47</f>
        <v>237</v>
      </c>
      <c r="F10" s="9">
        <f>'Data Sheet'!F47</f>
        <v>124</v>
      </c>
      <c r="G10" s="9">
        <f>'Data Sheet'!G47</f>
        <v>97</v>
      </c>
      <c r="H10" s="9">
        <f>'Data Sheet'!H47</f>
        <v>88</v>
      </c>
      <c r="I10" s="9">
        <f>'Data Sheet'!I47</f>
        <v>129</v>
      </c>
      <c r="J10" s="9">
        <f>'Data Sheet'!J47</f>
        <v>170</v>
      </c>
      <c r="K10" s="9">
        <f>'Data Sheet'!K47</f>
        <v>228</v>
      </c>
    </row>
    <row r="11" spans="1:11" x14ac:dyDescent="0.25">
      <c r="A11" s="6" t="s">
        <v>13</v>
      </c>
      <c r="B11" s="9">
        <f>'Data Sheet'!B48</f>
        <v>-14</v>
      </c>
      <c r="C11" s="9">
        <f>'Data Sheet'!C48</f>
        <v>-14</v>
      </c>
      <c r="D11" s="9">
        <f>'Data Sheet'!D48</f>
        <v>-14</v>
      </c>
      <c r="E11" s="9">
        <f>'Data Sheet'!E48</f>
        <v>61</v>
      </c>
      <c r="F11" s="9">
        <f>'Data Sheet'!F48</f>
        <v>65</v>
      </c>
      <c r="G11" s="9">
        <f>'Data Sheet'!G48</f>
        <v>58</v>
      </c>
      <c r="H11" s="9">
        <f>'Data Sheet'!H48</f>
        <v>63</v>
      </c>
      <c r="I11" s="9">
        <f>'Data Sheet'!I48</f>
        <v>64</v>
      </c>
      <c r="J11" s="9">
        <f>'Data Sheet'!J48</f>
        <v>68</v>
      </c>
      <c r="K11" s="9">
        <f>'Data Sheet'!K48</f>
        <v>54</v>
      </c>
    </row>
    <row r="12" spans="1:11" s="8" customFormat="1" x14ac:dyDescent="0.25">
      <c r="A12" s="8" t="s">
        <v>14</v>
      </c>
      <c r="B12" s="1">
        <f>'Data Sheet'!B49</f>
        <v>138</v>
      </c>
      <c r="C12" s="1">
        <f>'Data Sheet'!C49</f>
        <v>175</v>
      </c>
      <c r="D12" s="1">
        <f>'Data Sheet'!D49</f>
        <v>253</v>
      </c>
      <c r="E12" s="1">
        <f>'Data Sheet'!E49</f>
        <v>176</v>
      </c>
      <c r="F12" s="1">
        <f>'Data Sheet'!F49</f>
        <v>59</v>
      </c>
      <c r="G12" s="1">
        <f>'Data Sheet'!G49</f>
        <v>39</v>
      </c>
      <c r="H12" s="1">
        <f>'Data Sheet'!H49</f>
        <v>25</v>
      </c>
      <c r="I12" s="1">
        <f>'Data Sheet'!I49</f>
        <v>65</v>
      </c>
      <c r="J12" s="1">
        <f>'Data Sheet'!J49</f>
        <v>102</v>
      </c>
      <c r="K12" s="1">
        <f>'Data Sheet'!K49</f>
        <v>174</v>
      </c>
    </row>
    <row r="14" spans="1:11" s="8" customFormat="1" x14ac:dyDescent="0.25">
      <c r="A14" s="2" t="s">
        <v>18</v>
      </c>
      <c r="B14" s="14">
        <f>IF(B4&gt;0,B6/B4,"")</f>
        <v>1.5510948905109489E-2</v>
      </c>
      <c r="C14" s="14">
        <f t="shared" ref="C14:K14" si="0">IF(C4&gt;0,C6/C4,"")</f>
        <v>2.4143739472206625E-2</v>
      </c>
      <c r="D14" s="14">
        <f t="shared" si="0"/>
        <v>4.2082738944365192E-2</v>
      </c>
      <c r="E14" s="14">
        <f t="shared" si="0"/>
        <v>4.7093144405084393E-2</v>
      </c>
      <c r="F14" s="14">
        <f t="shared" si="0"/>
        <v>2.9972247918593896E-2</v>
      </c>
      <c r="G14" s="14">
        <f t="shared" si="0"/>
        <v>1.2343562489285103E-2</v>
      </c>
      <c r="H14" s="14">
        <f t="shared" si="0"/>
        <v>1.6045765313241245E-2</v>
      </c>
      <c r="I14" s="14">
        <f t="shared" si="0"/>
        <v>1.7586460632818247E-2</v>
      </c>
      <c r="J14" s="14">
        <f t="shared" si="0"/>
        <v>2.2555930125651241E-2</v>
      </c>
      <c r="K14" s="14">
        <f t="shared" si="0"/>
        <v>2.8105482303955587E-2</v>
      </c>
    </row>
    <row r="22" s="30" customFormat="1" x14ac:dyDescent="0.25"/>
    <row r="37" spans="5:5" ht="95.4" customHeight="1" x14ac:dyDescent="0.25">
      <c r="E37" s="34" t="s">
        <v>94</v>
      </c>
    </row>
  </sheetData>
  <hyperlinks>
    <hyperlink ref="J1" r:id="rId1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69921875" defaultRowHeight="14.4" x14ac:dyDescent="0.25"/>
  <cols>
    <col min="1" max="1" width="22.69921875" style="11" customWidth="1"/>
    <col min="2" max="2" width="13.3984375" style="11" customWidth="1"/>
    <col min="3" max="11" width="15.3984375" style="11" customWidth="1"/>
    <col min="12" max="16384" width="8.69921875" style="11"/>
  </cols>
  <sheetData>
    <row r="1" spans="1:11" s="8" customFormat="1" ht="13.8" x14ac:dyDescent="0.25">
      <c r="A1" s="8" t="str">
        <f>'Profit &amp; Loss'!A1</f>
        <v>ETERNAL LTD</v>
      </c>
      <c r="E1" t="str">
        <f>UPDATE</f>
        <v/>
      </c>
      <c r="G1"/>
      <c r="J1" s="4" t="s">
        <v>1</v>
      </c>
      <c r="K1" s="4"/>
    </row>
    <row r="2" spans="1:11" ht="13.8" x14ac:dyDescent="0.25">
      <c r="G2" s="8"/>
      <c r="H2" s="8"/>
    </row>
    <row r="3" spans="1:11" s="18" customFormat="1" ht="13.8" x14ac:dyDescent="0.25">
      <c r="A3" s="15" t="s">
        <v>2</v>
      </c>
      <c r="B3" s="16">
        <f>'Data Sheet'!B56</f>
        <v>0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ht="13.8" x14ac:dyDescent="0.25">
      <c r="A4" s="6" t="s">
        <v>24</v>
      </c>
      <c r="B4" s="19">
        <f>'Data Sheet'!B57</f>
        <v>0</v>
      </c>
      <c r="C4" s="19">
        <f>'Data Sheet'!C57</f>
        <v>0.03</v>
      </c>
      <c r="D4" s="19">
        <f>'Data Sheet'!D57</f>
        <v>0.03</v>
      </c>
      <c r="E4" s="19">
        <f>'Data Sheet'!E57</f>
        <v>0.03</v>
      </c>
      <c r="F4" s="19">
        <f>'Data Sheet'!F57</f>
        <v>0</v>
      </c>
      <c r="G4" s="19">
        <f>'Data Sheet'!G57</f>
        <v>764.3</v>
      </c>
      <c r="H4" s="19">
        <f>'Data Sheet'!H57</f>
        <v>836</v>
      </c>
      <c r="I4" s="19">
        <f>'Data Sheet'!I57</f>
        <v>868</v>
      </c>
      <c r="J4" s="19">
        <f>'Data Sheet'!J57</f>
        <v>907</v>
      </c>
      <c r="K4" s="19">
        <f>'Data Sheet'!K57</f>
        <v>919</v>
      </c>
    </row>
    <row r="5" spans="1:11" s="6" customFormat="1" ht="13.8" x14ac:dyDescent="0.25">
      <c r="A5" s="6" t="s">
        <v>25</v>
      </c>
      <c r="B5" s="19">
        <f>'Data Sheet'!B58</f>
        <v>0</v>
      </c>
      <c r="C5" s="19">
        <f>'Data Sheet'!C58</f>
        <v>1036.06</v>
      </c>
      <c r="D5" s="19">
        <f>'Data Sheet'!D58</f>
        <v>2355.61</v>
      </c>
      <c r="E5" s="19">
        <f>'Data Sheet'!E58</f>
        <v>457.35</v>
      </c>
      <c r="F5" s="19">
        <f>'Data Sheet'!F58</f>
        <v>7643.8</v>
      </c>
      <c r="G5" s="19">
        <f>'Data Sheet'!G58</f>
        <v>15741.2</v>
      </c>
      <c r="H5" s="19">
        <f>'Data Sheet'!H58</f>
        <v>18624</v>
      </c>
      <c r="I5" s="19">
        <f>'Data Sheet'!I58</f>
        <v>19545</v>
      </c>
      <c r="J5" s="19">
        <f>'Data Sheet'!J58</f>
        <v>29410</v>
      </c>
      <c r="K5" s="19">
        <f>'Data Sheet'!K58</f>
        <v>30061</v>
      </c>
    </row>
    <row r="6" spans="1:11" ht="13.8" x14ac:dyDescent="0.25">
      <c r="A6" s="11" t="s">
        <v>71</v>
      </c>
      <c r="B6" s="19">
        <f>'Data Sheet'!B59</f>
        <v>0</v>
      </c>
      <c r="C6" s="19">
        <f>'Data Sheet'!C59</f>
        <v>186.23</v>
      </c>
      <c r="D6" s="19">
        <f>'Data Sheet'!D59</f>
        <v>347.94</v>
      </c>
      <c r="E6" s="19">
        <f>'Data Sheet'!E59</f>
        <v>325.58</v>
      </c>
      <c r="F6" s="19">
        <f>'Data Sheet'!F59</f>
        <v>527.4</v>
      </c>
      <c r="G6" s="19">
        <f>'Data Sheet'!G59</f>
        <v>70.3</v>
      </c>
      <c r="H6" s="19">
        <f>'Data Sheet'!H59</f>
        <v>507</v>
      </c>
      <c r="I6" s="19">
        <f>'Data Sheet'!I59</f>
        <v>749</v>
      </c>
      <c r="J6" s="19">
        <f>'Data Sheet'!J59</f>
        <v>2045</v>
      </c>
      <c r="K6" s="19">
        <f>'Data Sheet'!K59</f>
        <v>4592</v>
      </c>
    </row>
    <row r="7" spans="1:11" s="6" customFormat="1" ht="13.8" x14ac:dyDescent="0.25">
      <c r="A7" s="11" t="s">
        <v>72</v>
      </c>
      <c r="B7" s="19">
        <f>'Data Sheet'!B60</f>
        <v>0</v>
      </c>
      <c r="C7" s="19">
        <f>'Data Sheet'!C60</f>
        <v>152.16999999999999</v>
      </c>
      <c r="D7" s="19">
        <f>'Data Sheet'!D60</f>
        <v>709.3</v>
      </c>
      <c r="E7" s="19">
        <f>'Data Sheet'!E60</f>
        <v>2117.4299999999998</v>
      </c>
      <c r="F7" s="19">
        <f>'Data Sheet'!F60</f>
        <v>532.29999999999995</v>
      </c>
      <c r="G7" s="19">
        <f>'Data Sheet'!G60</f>
        <v>751.2</v>
      </c>
      <c r="H7" s="19">
        <f>'Data Sheet'!H60</f>
        <v>1632</v>
      </c>
      <c r="I7" s="19">
        <f>'Data Sheet'!I60</f>
        <v>2194</v>
      </c>
      <c r="J7" s="19">
        <f>'Data Sheet'!J60</f>
        <v>3261</v>
      </c>
      <c r="K7" s="19">
        <f>'Data Sheet'!K60</f>
        <v>5164</v>
      </c>
    </row>
    <row r="8" spans="1:11" s="8" customFormat="1" ht="13.8" x14ac:dyDescent="0.25">
      <c r="A8" s="8" t="s">
        <v>26</v>
      </c>
      <c r="B8" s="20">
        <f>'Data Sheet'!B61</f>
        <v>0</v>
      </c>
      <c r="C8" s="20">
        <f>'Data Sheet'!C61</f>
        <v>1374.49</v>
      </c>
      <c r="D8" s="20">
        <f>'Data Sheet'!D61</f>
        <v>3412.88</v>
      </c>
      <c r="E8" s="20">
        <f>'Data Sheet'!E61</f>
        <v>2900.39</v>
      </c>
      <c r="F8" s="20">
        <f>'Data Sheet'!F61</f>
        <v>8703.5</v>
      </c>
      <c r="G8" s="20">
        <f>'Data Sheet'!G61</f>
        <v>17327</v>
      </c>
      <c r="H8" s="20">
        <f>'Data Sheet'!H61</f>
        <v>21599</v>
      </c>
      <c r="I8" s="20">
        <f>'Data Sheet'!I61</f>
        <v>23356</v>
      </c>
      <c r="J8" s="20">
        <f>'Data Sheet'!J61</f>
        <v>35623</v>
      </c>
      <c r="K8" s="20">
        <f>'Data Sheet'!K61</f>
        <v>40736</v>
      </c>
    </row>
    <row r="9" spans="1:11" s="8" customFormat="1" ht="13.8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ht="13.8" x14ac:dyDescent="0.25">
      <c r="A10" s="6" t="s">
        <v>27</v>
      </c>
      <c r="B10" s="19">
        <f>'Data Sheet'!B62</f>
        <v>0</v>
      </c>
      <c r="C10" s="19">
        <f>'Data Sheet'!C62</f>
        <v>189.8</v>
      </c>
      <c r="D10" s="19">
        <f>'Data Sheet'!D62</f>
        <v>389.08</v>
      </c>
      <c r="E10" s="19">
        <f>'Data Sheet'!E62</f>
        <v>1590.55</v>
      </c>
      <c r="F10" s="19">
        <f>'Data Sheet'!F62</f>
        <v>1539</v>
      </c>
      <c r="G10" s="19">
        <f>'Data Sheet'!G62</f>
        <v>1404.3</v>
      </c>
      <c r="H10" s="19">
        <f>'Data Sheet'!H62</f>
        <v>6344</v>
      </c>
      <c r="I10" s="19">
        <f>'Data Sheet'!I62</f>
        <v>6448</v>
      </c>
      <c r="J10" s="19">
        <f>'Data Sheet'!J62</f>
        <v>9532</v>
      </c>
      <c r="K10" s="19">
        <f>'Data Sheet'!K62</f>
        <v>12675</v>
      </c>
    </row>
    <row r="11" spans="1:11" ht="13.8" x14ac:dyDescent="0.25">
      <c r="A11" s="6" t="s">
        <v>28</v>
      </c>
      <c r="B11" s="19">
        <f>'Data Sheet'!B63</f>
        <v>0</v>
      </c>
      <c r="C11" s="19">
        <f>'Data Sheet'!C63</f>
        <v>1.29</v>
      </c>
      <c r="D11" s="19">
        <f>'Data Sheet'!D63</f>
        <v>0.74</v>
      </c>
      <c r="E11" s="19">
        <f>'Data Sheet'!E63</f>
        <v>0.96</v>
      </c>
      <c r="F11" s="19">
        <f>'Data Sheet'!F63</f>
        <v>0.1</v>
      </c>
      <c r="G11" s="19">
        <f>'Data Sheet'!G63</f>
        <v>0.6</v>
      </c>
      <c r="H11" s="19">
        <f>'Data Sheet'!H63</f>
        <v>7</v>
      </c>
      <c r="I11" s="19">
        <f>'Data Sheet'!I63</f>
        <v>18</v>
      </c>
      <c r="J11" s="19">
        <f>'Data Sheet'!J63</f>
        <v>51</v>
      </c>
      <c r="K11" s="19">
        <f>'Data Sheet'!K63</f>
        <v>136</v>
      </c>
    </row>
    <row r="12" spans="1:11" ht="13.8" x14ac:dyDescent="0.25">
      <c r="A12" s="6" t="s">
        <v>29</v>
      </c>
      <c r="B12" s="19">
        <f>'Data Sheet'!B64</f>
        <v>0</v>
      </c>
      <c r="C12" s="19">
        <f>'Data Sheet'!C64</f>
        <v>829.23</v>
      </c>
      <c r="D12" s="19">
        <f>'Data Sheet'!D64</f>
        <v>2144.5500000000002</v>
      </c>
      <c r="E12" s="19">
        <f>'Data Sheet'!E64</f>
        <v>323.92</v>
      </c>
      <c r="F12" s="19">
        <f>'Data Sheet'!F64</f>
        <v>2205.1999999999998</v>
      </c>
      <c r="G12" s="19">
        <f>'Data Sheet'!G64</f>
        <v>4717.7</v>
      </c>
      <c r="H12" s="19">
        <f>'Data Sheet'!H64</f>
        <v>6765</v>
      </c>
      <c r="I12" s="19">
        <f>'Data Sheet'!I64</f>
        <v>11645</v>
      </c>
      <c r="J12" s="19">
        <f>'Data Sheet'!J64</f>
        <v>13192</v>
      </c>
      <c r="K12" s="19">
        <f>'Data Sheet'!K64</f>
        <v>14833</v>
      </c>
    </row>
    <row r="13" spans="1:11" ht="13.8" x14ac:dyDescent="0.25">
      <c r="A13" s="11" t="s">
        <v>73</v>
      </c>
      <c r="B13" s="19">
        <f>'Data Sheet'!B65</f>
        <v>0</v>
      </c>
      <c r="C13" s="19">
        <f>'Data Sheet'!C65</f>
        <v>354.17</v>
      </c>
      <c r="D13" s="19">
        <f>'Data Sheet'!D65</f>
        <v>878.51</v>
      </c>
      <c r="E13" s="19">
        <f>'Data Sheet'!E65</f>
        <v>984.96</v>
      </c>
      <c r="F13" s="19">
        <f>'Data Sheet'!F65</f>
        <v>4959.2</v>
      </c>
      <c r="G13" s="19">
        <f>'Data Sheet'!G65</f>
        <v>11204.4</v>
      </c>
      <c r="H13" s="19">
        <f>'Data Sheet'!H65</f>
        <v>8483</v>
      </c>
      <c r="I13" s="19">
        <f>'Data Sheet'!I65</f>
        <v>5245</v>
      </c>
      <c r="J13" s="19">
        <f>'Data Sheet'!J65</f>
        <v>12848</v>
      </c>
      <c r="K13" s="19">
        <f>'Data Sheet'!K65</f>
        <v>13092</v>
      </c>
    </row>
    <row r="14" spans="1:11" s="8" customFormat="1" ht="13.8" x14ac:dyDescent="0.25">
      <c r="A14" s="8" t="s">
        <v>26</v>
      </c>
      <c r="B14" s="19">
        <f>'Data Sheet'!B66</f>
        <v>0</v>
      </c>
      <c r="C14" s="19">
        <f>'Data Sheet'!C66</f>
        <v>1374.49</v>
      </c>
      <c r="D14" s="19">
        <f>'Data Sheet'!D66</f>
        <v>3412.88</v>
      </c>
      <c r="E14" s="19">
        <f>'Data Sheet'!E66</f>
        <v>2900.39</v>
      </c>
      <c r="F14" s="19">
        <f>'Data Sheet'!F66</f>
        <v>8703.5</v>
      </c>
      <c r="G14" s="19">
        <f>'Data Sheet'!G66</f>
        <v>17327</v>
      </c>
      <c r="H14" s="19">
        <f>'Data Sheet'!H66</f>
        <v>21599</v>
      </c>
      <c r="I14" s="19">
        <f>'Data Sheet'!I66</f>
        <v>23356</v>
      </c>
      <c r="J14" s="19">
        <f>'Data Sheet'!J66</f>
        <v>35623</v>
      </c>
      <c r="K14" s="19">
        <f>'Data Sheet'!K66</f>
        <v>40736</v>
      </c>
    </row>
    <row r="15" spans="1:11" ht="13.8" x14ac:dyDescent="0.25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3.8" x14ac:dyDescent="0.25">
      <c r="A16" s="29" t="s">
        <v>30</v>
      </c>
      <c r="B16" s="21">
        <f>B13-B7</f>
        <v>0</v>
      </c>
      <c r="C16" s="21">
        <f t="shared" ref="C16:K16" si="0">C13-C7</f>
        <v>202.00000000000003</v>
      </c>
      <c r="D16" s="21">
        <f t="shared" si="0"/>
        <v>169.21000000000004</v>
      </c>
      <c r="E16" s="21">
        <f t="shared" si="0"/>
        <v>-1132.4699999999998</v>
      </c>
      <c r="F16" s="21">
        <f t="shared" si="0"/>
        <v>4426.8999999999996</v>
      </c>
      <c r="G16" s="21">
        <f t="shared" si="0"/>
        <v>10453.199999999999</v>
      </c>
      <c r="H16" s="21">
        <f t="shared" si="0"/>
        <v>6851</v>
      </c>
      <c r="I16" s="21">
        <f t="shared" si="0"/>
        <v>3051</v>
      </c>
      <c r="J16" s="21">
        <f t="shared" si="0"/>
        <v>9587</v>
      </c>
      <c r="K16" s="21">
        <f t="shared" si="0"/>
        <v>7928</v>
      </c>
    </row>
    <row r="17" spans="1:11" ht="13.8" x14ac:dyDescent="0.25">
      <c r="A17" s="11" t="s">
        <v>44</v>
      </c>
      <c r="B17" s="21">
        <f>'Data Sheet'!B67</f>
        <v>0</v>
      </c>
      <c r="C17" s="21">
        <f>'Data Sheet'!C67</f>
        <v>26.08</v>
      </c>
      <c r="D17" s="21">
        <f>'Data Sheet'!D67</f>
        <v>70.34</v>
      </c>
      <c r="E17" s="21">
        <f>'Data Sheet'!E67</f>
        <v>123.12</v>
      </c>
      <c r="F17" s="21">
        <f>'Data Sheet'!F67</f>
        <v>129.9</v>
      </c>
      <c r="G17" s="21">
        <f>'Data Sheet'!G67</f>
        <v>159.9</v>
      </c>
      <c r="H17" s="21">
        <f>'Data Sheet'!H67</f>
        <v>457</v>
      </c>
      <c r="I17" s="21">
        <f>'Data Sheet'!I67</f>
        <v>794</v>
      </c>
      <c r="J17" s="21">
        <f>'Data Sheet'!J67</f>
        <v>1946</v>
      </c>
      <c r="K17" s="21">
        <f>'Data Sheet'!K67</f>
        <v>1764</v>
      </c>
    </row>
    <row r="18" spans="1:11" ht="13.8" x14ac:dyDescent="0.25">
      <c r="A18" s="11" t="s">
        <v>45</v>
      </c>
      <c r="B18" s="21">
        <f>'Data Sheet'!B68</f>
        <v>0</v>
      </c>
      <c r="C18" s="21">
        <f>'Data Sheet'!C68</f>
        <v>0</v>
      </c>
      <c r="D18" s="21">
        <f>'Data Sheet'!D68</f>
        <v>2.13</v>
      </c>
      <c r="E18" s="21">
        <f>'Data Sheet'!E68</f>
        <v>3.73</v>
      </c>
      <c r="F18" s="21">
        <f>'Data Sheet'!F68</f>
        <v>14.8</v>
      </c>
      <c r="G18" s="21">
        <f>'Data Sheet'!G68</f>
        <v>39.700000000000003</v>
      </c>
      <c r="H18" s="21">
        <f>'Data Sheet'!H68</f>
        <v>83</v>
      </c>
      <c r="I18" s="21">
        <f>'Data Sheet'!I68</f>
        <v>88</v>
      </c>
      <c r="J18" s="21">
        <f>'Data Sheet'!J68</f>
        <v>176</v>
      </c>
      <c r="K18" s="21">
        <f>'Data Sheet'!K68</f>
        <v>2181</v>
      </c>
    </row>
    <row r="20" spans="1:11" ht="13.8" x14ac:dyDescent="0.25">
      <c r="A20" s="11" t="s">
        <v>46</v>
      </c>
      <c r="B20" s="5">
        <f>IF('Profit &amp; Loss'!B4&gt;0,'Balance Sheet'!B17/('Profit &amp; Loss'!B4/365),0)</f>
        <v>0</v>
      </c>
      <c r="C20" s="5">
        <f>IF('Profit &amp; Loss'!C4&gt;0,'Balance Sheet'!C17/('Profit &amp; Loss'!C4/365),0)</f>
        <v>20.426591133427749</v>
      </c>
      <c r="D20" s="5">
        <f>IF('Profit &amp; Loss'!D4&gt;0,'Balance Sheet'!D17/('Profit &amp; Loss'!D4/365),0)</f>
        <v>19.559877798855702</v>
      </c>
      <c r="E20" s="5">
        <f>IF('Profit &amp; Loss'!E4&gt;0,'Balance Sheet'!E17/('Profit &amp; Loss'!E4/365),0)</f>
        <v>17.252700845381884</v>
      </c>
      <c r="F20" s="5">
        <f>IF('Profit &amp; Loss'!F4&gt;0,'Balance Sheet'!F17/('Profit &amp; Loss'!F4/365),0)</f>
        <v>23.780469455311465</v>
      </c>
      <c r="G20" s="5">
        <f>IF('Profit &amp; Loss'!G4&gt;0,'Balance Sheet'!G17/('Profit &amp; Loss'!G4/365),0)</f>
        <v>13.921262284133196</v>
      </c>
      <c r="H20" s="5">
        <f>IF('Profit &amp; Loss'!H4&gt;0,'Balance Sheet'!H17/('Profit &amp; Loss'!H4/365),0)</f>
        <v>23.563356406272071</v>
      </c>
      <c r="I20" s="5">
        <f>IF('Profit &amp; Loss'!I4&gt;0,'Balance Sheet'!I17/('Profit &amp; Loss'!I4/365),0)</f>
        <v>23.923559517913159</v>
      </c>
      <c r="J20" s="5">
        <f>IF('Profit &amp; Loss'!J4&gt;0,'Balance Sheet'!J17/('Profit &amp; Loss'!J4/365),0)</f>
        <v>35.088178629649754</v>
      </c>
      <c r="K20" s="5">
        <f>IF('Profit &amp; Loss'!K4&gt;0,'Balance Sheet'!K17/('Profit &amp; Loss'!K4/365),0)</f>
        <v>11.843499374586122</v>
      </c>
    </row>
    <row r="21" spans="1:11" ht="13.8" x14ac:dyDescent="0.25">
      <c r="A21" s="11" t="s">
        <v>47</v>
      </c>
      <c r="B21" s="5">
        <f>IF('Balance Sheet'!B18&gt;0,'Profit &amp; Loss'!B4/'Balance Sheet'!B18,0)</f>
        <v>0</v>
      </c>
      <c r="C21" s="5">
        <f>IF('Balance Sheet'!C18&gt;0,'Profit &amp; Loss'!C4/'Balance Sheet'!C18,0)</f>
        <v>0</v>
      </c>
      <c r="D21" s="5">
        <f>IF('Balance Sheet'!D18&gt;0,'Profit &amp; Loss'!D4/'Balance Sheet'!D18,0)</f>
        <v>616.23943661971828</v>
      </c>
      <c r="E21" s="5">
        <f>IF('Balance Sheet'!E18&gt;0,'Profit &amp; Loss'!E4/'Balance Sheet'!E18,0)</f>
        <v>698.32171581769433</v>
      </c>
      <c r="F21" s="5">
        <f>IF('Balance Sheet'!F18&gt;0,'Profit &amp; Loss'!F4/'Balance Sheet'!F18,0)</f>
        <v>134.7162162162162</v>
      </c>
      <c r="G21" s="5">
        <f>IF('Balance Sheet'!G18&gt;0,'Profit &amp; Loss'!G4/'Balance Sheet'!G18,0)</f>
        <v>105.60201511335011</v>
      </c>
      <c r="H21" s="5">
        <f>IF('Balance Sheet'!H18&gt;0,'Profit &amp; Loss'!H4/'Balance Sheet'!H18,0)</f>
        <v>85.289156626506028</v>
      </c>
      <c r="I21" s="5">
        <f>IF('Balance Sheet'!I18&gt;0,'Profit &amp; Loss'!I4/'Balance Sheet'!I18,0)</f>
        <v>137.65909090909091</v>
      </c>
      <c r="J21" s="5">
        <f>IF('Balance Sheet'!J18&gt;0,'Profit &amp; Loss'!J4/'Balance Sheet'!J18,0)</f>
        <v>115.01704545454545</v>
      </c>
      <c r="K21" s="5">
        <f>IF('Balance Sheet'!K18&gt;0,'Profit &amp; Loss'!K4/'Balance Sheet'!K18,0)</f>
        <v>24.926180651077487</v>
      </c>
    </row>
    <row r="23" spans="1:11" s="8" customFormat="1" ht="13.8" x14ac:dyDescent="0.25">
      <c r="A23" s="8" t="s">
        <v>59</v>
      </c>
      <c r="B23" s="14" t="str">
        <f>IF(SUM('Balance Sheet'!B4:B5)&gt;0,'Profit &amp; Loss'!B12/SUM('Balance Sheet'!B4:B5),"")</f>
        <v/>
      </c>
      <c r="C23" s="14">
        <f>IF(SUM('Balance Sheet'!C4:C5)&gt;0,'Profit &amp; Loss'!C12/SUM('Balance Sheet'!C4:C5),"")</f>
        <v>-0.10006852686542676</v>
      </c>
      <c r="D23" s="14">
        <f>IF(SUM('Balance Sheet'!D4:D5)&gt;0,'Profit &amp; Loss'!D12/SUM('Balance Sheet'!D4:D5),"")</f>
        <v>-0.40963389991679539</v>
      </c>
      <c r="E23" s="14">
        <f>IF(SUM('Balance Sheet'!E4:E5)&gt;0,'Profit &amp; Loss'!E12/SUM('Balance Sheet'!E4:E5),"")</f>
        <v>-5.1754777209322658</v>
      </c>
      <c r="F23" s="14">
        <f>IF(SUM('Balance Sheet'!F4:F5)&gt;0,'Profit &amp; Loss'!F12/SUM('Balance Sheet'!F4:F5),"")</f>
        <v>-0.10633454564483633</v>
      </c>
      <c r="G23" s="14">
        <f>IF(SUM('Balance Sheet'!G4:G5)&gt;0,'Profit &amp; Loss'!G12/SUM('Balance Sheet'!G4:G5),"")</f>
        <v>-7.3230135409408995E-2</v>
      </c>
      <c r="H23" s="14">
        <f>IF(SUM('Balance Sheet'!H4:H5)&gt;0,'Profit &amp; Loss'!H12/SUM('Balance Sheet'!H4:H5),"")</f>
        <v>-4.9897225077081192E-2</v>
      </c>
      <c r="I23" s="14">
        <f>IF(SUM('Balance Sheet'!I4:I5)&gt;0,'Profit &amp; Loss'!I12/SUM('Balance Sheet'!I4:I5),"")</f>
        <v>1.719492480282173E-2</v>
      </c>
      <c r="J23" s="14">
        <f>IF(SUM('Balance Sheet'!J4:J5)&gt;0,'Profit &amp; Loss'!J12/SUM('Balance Sheet'!J4:J5),"")</f>
        <v>1.7382986443249662E-2</v>
      </c>
      <c r="K23" s="14">
        <f>IF(SUM('Balance Sheet'!K4:K5)&gt;0,'Profit &amp; Loss'!K12/SUM('Balance Sheet'!K4:K5),"")</f>
        <v>1.1814073595868302E-2</v>
      </c>
    </row>
    <row r="24" spans="1:11" s="8" customFormat="1" ht="13.8" x14ac:dyDescent="0.25">
      <c r="A24" s="8" t="s">
        <v>60</v>
      </c>
      <c r="B24" s="14"/>
      <c r="C24" s="14">
        <f>IF((B4+B5+B6+C4+C5+C6)&gt;0,('Profit &amp; Loss'!C10+'Profit &amp; Loss'!C9)*2/(B4+B5+B6+C4+C5+C6),"")</f>
        <v>-0.16455592643497613</v>
      </c>
      <c r="D24" s="14">
        <f>IF((C4+C5+C6+D4+D5+D6)&gt;0,('Profit &amp; Loss'!D10+'Profit &amp; Loss'!D9)*2/(C4+C5+C6+D4+D5+D6),"")</f>
        <v>-0.5102269543289436</v>
      </c>
      <c r="E24" s="14">
        <f>IF((D4+D5+D6+E4+E5+E6)&gt;0,('Profit &amp; Loss'!E10+'Profit &amp; Loss'!E9)*2/(D4+D5+D6+E4+E5+E6),"")</f>
        <v>-1.3612177115421018</v>
      </c>
      <c r="F24" s="14">
        <f>IF((E4+E5+E6+F4+F5+F6)&gt;0,('Profit &amp; Loss'!F10+'Profit &amp; Loss'!F9)*2/(E4+E5+E6+F4+F5+F6),"")</f>
        <v>-0.17980469413099609</v>
      </c>
      <c r="G24" s="14">
        <f>IF((F4+F5+F6+G4+G5+G6)&gt;0,('Profit &amp; Loss'!G10+'Profit &amp; Loss'!G9)*2/(F4+F5+F6+G4+G5+G6),"")</f>
        <v>-9.766840425102033E-2</v>
      </c>
      <c r="H24" s="14">
        <f>IF((G4+G5+G6+H4+H5+H6)&gt;0,('Profit &amp; Loss'!H10+'Profit &amp; Loss'!H9)*2/(G4+G5+G6+H4+H5+H6),"")</f>
        <v>-5.2869511914795796E-2</v>
      </c>
      <c r="I24" s="14">
        <f>IF((H4+H5+H6+I4+I5+I6)&gt;0,('Profit &amp; Loss'!I10+'Profit &amp; Loss'!I9)*2/(H4+H5+H6+I4+I5+I6),"")</f>
        <v>1.7651778550414551E-2</v>
      </c>
      <c r="J24" s="14">
        <f>IF((I4+I5+I6+J4+J5+J6)&gt;0,('Profit &amp; Loss'!J10+'Profit &amp; Loss'!J9)*2/(I4+I5+I6+J4+J5+J6),"")</f>
        <v>3.1798819221283907E-2</v>
      </c>
      <c r="K24" s="14">
        <f>IF((J4+J5+J6+K4+K5+K6)&gt;0,('Profit &amp; Loss'!K10+'Profit &amp; Loss'!K9)*2/(J4+J5+J6+K4+K5+K6),"")</f>
        <v>2.964642152677599E-2</v>
      </c>
    </row>
    <row r="25" spans="1:11" s="18" customFormat="1" ht="13.8" x14ac:dyDescent="0.25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69921875" defaultRowHeight="14.4" x14ac:dyDescent="0.25"/>
  <cols>
    <col min="1" max="1" width="26.69921875" style="6" customWidth="1"/>
    <col min="2" max="11" width="13.3984375" style="6" customWidth="1"/>
    <col min="12" max="16384" width="8.69921875" style="6"/>
  </cols>
  <sheetData>
    <row r="1" spans="1:11" s="8" customFormat="1" ht="13.8" x14ac:dyDescent="0.25">
      <c r="A1" s="8" t="str">
        <f>'Balance Sheet'!A1</f>
        <v>ETERNAL LTD</v>
      </c>
      <c r="E1" t="str">
        <f>UPDATE</f>
        <v/>
      </c>
      <c r="F1"/>
      <c r="J1" s="4" t="s">
        <v>1</v>
      </c>
      <c r="K1" s="4"/>
    </row>
    <row r="3" spans="1:11" s="2" customFormat="1" ht="13.8" x14ac:dyDescent="0.25">
      <c r="A3" s="15" t="s">
        <v>2</v>
      </c>
      <c r="B3" s="16">
        <f>'Data Sheet'!B81</f>
        <v>0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ht="13.8" x14ac:dyDescent="0.25">
      <c r="A4" s="8" t="s">
        <v>32</v>
      </c>
      <c r="B4" s="1">
        <f>'Data Sheet'!B82</f>
        <v>0</v>
      </c>
      <c r="C4" s="1">
        <f>'Data Sheet'!C82</f>
        <v>0</v>
      </c>
      <c r="D4" s="1">
        <f>'Data Sheet'!D82</f>
        <v>0</v>
      </c>
      <c r="E4" s="1">
        <f>'Data Sheet'!E82</f>
        <v>-2143.63</v>
      </c>
      <c r="F4" s="1">
        <f>'Data Sheet'!F82</f>
        <v>-1017.9</v>
      </c>
      <c r="G4" s="1">
        <f>'Data Sheet'!G82</f>
        <v>-693</v>
      </c>
      <c r="H4" s="1">
        <f>'Data Sheet'!H82</f>
        <v>-844</v>
      </c>
      <c r="I4" s="1">
        <f>'Data Sheet'!I82</f>
        <v>646</v>
      </c>
      <c r="J4" s="1">
        <f>'Data Sheet'!J82</f>
        <v>308</v>
      </c>
      <c r="K4" s="1">
        <f>'Data Sheet'!K82</f>
        <v>632</v>
      </c>
    </row>
    <row r="5" spans="1:11" ht="13.8" x14ac:dyDescent="0.25">
      <c r="A5" s="6" t="s">
        <v>33</v>
      </c>
      <c r="B5" s="9">
        <f>'Data Sheet'!B83</f>
        <v>0</v>
      </c>
      <c r="C5" s="9">
        <f>'Data Sheet'!C83</f>
        <v>0</v>
      </c>
      <c r="D5" s="9">
        <f>'Data Sheet'!D83</f>
        <v>0</v>
      </c>
      <c r="E5" s="9">
        <f>'Data Sheet'!E83</f>
        <v>1739.51</v>
      </c>
      <c r="F5" s="9">
        <f>'Data Sheet'!F83</f>
        <v>-5244.6</v>
      </c>
      <c r="G5" s="9">
        <f>'Data Sheet'!G83</f>
        <v>-7971</v>
      </c>
      <c r="H5" s="9">
        <f>'Data Sheet'!H83</f>
        <v>797</v>
      </c>
      <c r="I5" s="9">
        <f>'Data Sheet'!I83</f>
        <v>-348</v>
      </c>
      <c r="J5" s="9">
        <f>'Data Sheet'!J83</f>
        <v>-7993</v>
      </c>
      <c r="K5" s="9">
        <f>'Data Sheet'!K83</f>
        <v>536</v>
      </c>
    </row>
    <row r="6" spans="1:11" ht="13.8" x14ac:dyDescent="0.25">
      <c r="A6" s="6" t="s">
        <v>34</v>
      </c>
      <c r="B6" s="9">
        <f>'Data Sheet'!B84</f>
        <v>0</v>
      </c>
      <c r="C6" s="9">
        <f>'Data Sheet'!C84</f>
        <v>0</v>
      </c>
      <c r="D6" s="9">
        <f>'Data Sheet'!D84</f>
        <v>0</v>
      </c>
      <c r="E6" s="9">
        <f>'Data Sheet'!E84</f>
        <v>358.91</v>
      </c>
      <c r="F6" s="9">
        <f>'Data Sheet'!F84</f>
        <v>6401.9</v>
      </c>
      <c r="G6" s="9">
        <f>'Data Sheet'!G84</f>
        <v>8749.7999999999993</v>
      </c>
      <c r="H6" s="9">
        <f>'Data Sheet'!H84</f>
        <v>-127</v>
      </c>
      <c r="I6" s="9">
        <f>'Data Sheet'!I84</f>
        <v>-207</v>
      </c>
      <c r="J6" s="9">
        <f>'Data Sheet'!J84</f>
        <v>8042</v>
      </c>
      <c r="K6" s="9">
        <f>'Data Sheet'!K84</f>
        <v>-842</v>
      </c>
    </row>
    <row r="7" spans="1:11" s="8" customFormat="1" ht="13.8" x14ac:dyDescent="0.25">
      <c r="A7" s="8" t="s">
        <v>35</v>
      </c>
      <c r="B7" s="1">
        <f>'Data Sheet'!B85</f>
        <v>0</v>
      </c>
      <c r="C7" s="1">
        <f>'Data Sheet'!C85</f>
        <v>0</v>
      </c>
      <c r="D7" s="1">
        <f>'Data Sheet'!D85</f>
        <v>0</v>
      </c>
      <c r="E7" s="1">
        <f>'Data Sheet'!E85</f>
        <v>-45.22</v>
      </c>
      <c r="F7" s="1">
        <f>'Data Sheet'!F85</f>
        <v>139.4</v>
      </c>
      <c r="G7" s="1">
        <f>'Data Sheet'!G85</f>
        <v>85.8</v>
      </c>
      <c r="H7" s="1">
        <f>'Data Sheet'!H85</f>
        <v>-174</v>
      </c>
      <c r="I7" s="1">
        <f>'Data Sheet'!I85</f>
        <v>91</v>
      </c>
      <c r="J7" s="1">
        <f>'Data Sheet'!J85</f>
        <v>357</v>
      </c>
      <c r="K7" s="1">
        <f>'Data Sheet'!K85</f>
        <v>326</v>
      </c>
    </row>
    <row r="8" spans="1:11" ht="13.8" x14ac:dyDescent="0.25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ht="13.8" x14ac:dyDescent="0.25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69921875" defaultRowHeight="13.8" x14ac:dyDescent="0.25"/>
  <cols>
    <col min="1" max="1" width="8.69921875" style="8"/>
    <col min="2" max="2" width="10.3984375" style="11" customWidth="1"/>
    <col min="3" max="3" width="13.296875" style="26" customWidth="1"/>
    <col min="4" max="5" width="8.69921875" style="11"/>
    <col min="6" max="6" width="6.69921875" style="11" customWidth="1"/>
    <col min="7" max="16384" width="8.69921875" style="11"/>
  </cols>
  <sheetData>
    <row r="1" spans="1:7" ht="20.399999999999999" x14ac:dyDescent="0.35">
      <c r="A1" s="25" t="s">
        <v>56</v>
      </c>
    </row>
    <row r="3" spans="1:7" x14ac:dyDescent="0.25">
      <c r="A3" s="8" t="s">
        <v>48</v>
      </c>
    </row>
    <row r="4" spans="1:7" x14ac:dyDescent="0.25">
      <c r="B4" s="11" t="s">
        <v>90</v>
      </c>
    </row>
    <row r="5" spans="1:7" x14ac:dyDescent="0.25">
      <c r="B5" s="11" t="s">
        <v>49</v>
      </c>
    </row>
    <row r="7" spans="1:7" x14ac:dyDescent="0.25">
      <c r="A7" s="8" t="s">
        <v>50</v>
      </c>
    </row>
    <row r="8" spans="1:7" ht="14.4" x14ac:dyDescent="0.3">
      <c r="B8" s="11" t="s">
        <v>51</v>
      </c>
      <c r="C8" s="27" t="s">
        <v>91</v>
      </c>
    </row>
    <row r="10" spans="1:7" x14ac:dyDescent="0.25">
      <c r="A10" s="8" t="s">
        <v>52</v>
      </c>
    </row>
    <row r="11" spans="1:7" x14ac:dyDescent="0.25">
      <c r="B11" s="11" t="s">
        <v>53</v>
      </c>
    </row>
    <row r="14" spans="1:7" x14ac:dyDescent="0.25">
      <c r="A14" s="8" t="s">
        <v>54</v>
      </c>
    </row>
    <row r="15" spans="1:7" x14ac:dyDescent="0.25">
      <c r="B15" s="11" t="s">
        <v>55</v>
      </c>
    </row>
    <row r="16" spans="1:7" ht="14.4" x14ac:dyDescent="0.3">
      <c r="B16" s="11" t="s">
        <v>92</v>
      </c>
      <c r="G16" s="28"/>
    </row>
  </sheetData>
  <hyperlinks>
    <hyperlink ref="C8" r:id="rId1" display=" http://www.screener.in/excel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120" zoomScaleNormal="120" zoomScalePageLayoutView="120" workbookViewId="0">
      <pane xSplit="1" ySplit="1" topLeftCell="E53" activePane="bottomRight" state="frozen"/>
      <selection activeCell="C4" sqref="C4"/>
      <selection pane="topRight" activeCell="C4" sqref="C4"/>
      <selection pane="bottomLeft" activeCell="C4" sqref="C4"/>
      <selection pane="bottomRight" activeCell="N58" sqref="N58"/>
    </sheetView>
  </sheetViews>
  <sheetFormatPr defaultColWidth="8.69921875" defaultRowHeight="14.4" x14ac:dyDescent="0.25"/>
  <cols>
    <col min="1" max="1" width="27.59765625" style="5" customWidth="1"/>
    <col min="2" max="11" width="13.3984375" style="5" customWidth="1"/>
    <col min="12" max="16384" width="8.69921875" style="5"/>
  </cols>
  <sheetData>
    <row r="1" spans="1:11" s="1" customFormat="1" x14ac:dyDescent="0.3">
      <c r="A1" s="1" t="s">
        <v>0</v>
      </c>
      <c r="B1" s="1" t="s">
        <v>63</v>
      </c>
      <c r="E1" s="85" t="str">
        <f>IF(B2&lt;&gt;B3, "A NEW VERSION OF THE WORKSHEET IS AVAILABLE", "")</f>
        <v/>
      </c>
      <c r="F1" s="85"/>
      <c r="G1" s="85"/>
      <c r="H1" s="85"/>
      <c r="I1" s="85"/>
      <c r="J1" s="85"/>
      <c r="K1" s="85"/>
    </row>
    <row r="2" spans="1:11" ht="13.8" x14ac:dyDescent="0.25">
      <c r="A2" s="1" t="s">
        <v>61</v>
      </c>
      <c r="B2" s="5">
        <v>2.1</v>
      </c>
      <c r="E2" s="86" t="s">
        <v>36</v>
      </c>
      <c r="F2" s="86"/>
      <c r="G2" s="86"/>
      <c r="H2" s="86"/>
      <c r="I2" s="86"/>
      <c r="J2" s="86"/>
      <c r="K2" s="86"/>
    </row>
    <row r="3" spans="1:11" ht="13.8" x14ac:dyDescent="0.25">
      <c r="A3" s="1" t="s">
        <v>62</v>
      </c>
      <c r="B3" s="5">
        <v>2.1</v>
      </c>
    </row>
    <row r="4" spans="1:11" ht="13.8" x14ac:dyDescent="0.25">
      <c r="A4" s="1"/>
    </row>
    <row r="5" spans="1:11" ht="13.8" x14ac:dyDescent="0.25">
      <c r="A5" s="1" t="s">
        <v>64</v>
      </c>
    </row>
    <row r="6" spans="1:11" ht="13.8" x14ac:dyDescent="0.25">
      <c r="A6" s="5" t="s">
        <v>42</v>
      </c>
      <c r="B6" s="5">
        <f>IF(B9&gt;0, B9/B8, 0)</f>
        <v>965.03514691943121</v>
      </c>
    </row>
    <row r="7" spans="1:11" ht="13.8" x14ac:dyDescent="0.25">
      <c r="A7" s="5" t="s">
        <v>31</v>
      </c>
      <c r="B7">
        <v>1</v>
      </c>
    </row>
    <row r="8" spans="1:11" ht="13.8" x14ac:dyDescent="0.25">
      <c r="A8" s="5" t="s">
        <v>43</v>
      </c>
      <c r="B8">
        <v>263.75</v>
      </c>
    </row>
    <row r="9" spans="1:11" ht="13.8" x14ac:dyDescent="0.25">
      <c r="A9" s="5" t="s">
        <v>79</v>
      </c>
      <c r="B9">
        <v>254528.02</v>
      </c>
    </row>
    <row r="15" spans="1:11" ht="13.8" x14ac:dyDescent="0.25">
      <c r="A15" s="1" t="s">
        <v>37</v>
      </c>
    </row>
    <row r="16" spans="1:11" s="24" customFormat="1" ht="13.8" x14ac:dyDescent="0.25">
      <c r="A16" s="23" t="s">
        <v>38</v>
      </c>
      <c r="B16" s="16"/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ht="13.8" x14ac:dyDescent="0.25">
      <c r="A17" s="9" t="s">
        <v>6</v>
      </c>
      <c r="C17">
        <v>466.02</v>
      </c>
      <c r="D17">
        <v>1312.59</v>
      </c>
      <c r="E17">
        <v>2604.7399999999998</v>
      </c>
      <c r="F17">
        <v>1993.8</v>
      </c>
      <c r="G17">
        <v>4192.3999999999996</v>
      </c>
      <c r="H17">
        <v>7079</v>
      </c>
      <c r="I17">
        <v>12114</v>
      </c>
      <c r="J17">
        <v>20243</v>
      </c>
      <c r="K17">
        <v>54364</v>
      </c>
    </row>
    <row r="18" spans="1:11" s="9" customFormat="1" ht="13.8" x14ac:dyDescent="0.25">
      <c r="A18" s="5" t="s">
        <v>80</v>
      </c>
      <c r="D18">
        <v>18.72</v>
      </c>
      <c r="E18">
        <v>110.52</v>
      </c>
      <c r="F18">
        <v>202.9</v>
      </c>
      <c r="G18">
        <v>552.4</v>
      </c>
      <c r="H18">
        <v>1438</v>
      </c>
      <c r="I18">
        <v>2887</v>
      </c>
      <c r="J18">
        <v>5653</v>
      </c>
      <c r="K18">
        <v>32169</v>
      </c>
    </row>
    <row r="19" spans="1:11" s="9" customFormat="1" ht="13.8" x14ac:dyDescent="0.25">
      <c r="A19" s="5" t="s">
        <v>81</v>
      </c>
      <c r="D19">
        <v>2.13</v>
      </c>
      <c r="E19">
        <v>1.6</v>
      </c>
      <c r="F19">
        <v>11</v>
      </c>
      <c r="G19">
        <v>27.8</v>
      </c>
      <c r="H19">
        <v>43</v>
      </c>
      <c r="I19">
        <v>5</v>
      </c>
      <c r="J19">
        <v>88</v>
      </c>
      <c r="K19">
        <v>2002</v>
      </c>
    </row>
    <row r="20" spans="1:11" s="9" customFormat="1" ht="13.8" x14ac:dyDescent="0.25">
      <c r="A20" s="5" t="s">
        <v>82</v>
      </c>
      <c r="C20">
        <v>2.41</v>
      </c>
      <c r="D20">
        <v>3.17</v>
      </c>
      <c r="E20">
        <v>6.29</v>
      </c>
      <c r="F20">
        <v>1.9</v>
      </c>
      <c r="G20">
        <v>4</v>
      </c>
      <c r="H20">
        <v>23</v>
      </c>
      <c r="I20">
        <v>51</v>
      </c>
      <c r="J20">
        <v>143</v>
      </c>
    </row>
    <row r="21" spans="1:11" s="9" customFormat="1" ht="13.8" x14ac:dyDescent="0.25">
      <c r="A21" s="5" t="s">
        <v>83</v>
      </c>
      <c r="C21">
        <v>49.81</v>
      </c>
      <c r="D21">
        <v>1339.7</v>
      </c>
      <c r="E21">
        <v>2108.91</v>
      </c>
      <c r="F21">
        <v>74.5</v>
      </c>
      <c r="G21">
        <v>183.3</v>
      </c>
      <c r="H21">
        <v>384</v>
      </c>
      <c r="I21">
        <v>521</v>
      </c>
      <c r="J21">
        <v>968</v>
      </c>
    </row>
    <row r="22" spans="1:11" s="9" customFormat="1" ht="13.8" x14ac:dyDescent="0.25">
      <c r="A22" s="5" t="s">
        <v>84</v>
      </c>
      <c r="C22">
        <v>290.49</v>
      </c>
      <c r="D22">
        <v>600.79</v>
      </c>
      <c r="E22">
        <v>798.88</v>
      </c>
      <c r="F22">
        <v>740.8</v>
      </c>
      <c r="G22">
        <v>1633.1</v>
      </c>
      <c r="H22">
        <v>1465</v>
      </c>
      <c r="I22">
        <v>1659</v>
      </c>
      <c r="J22">
        <v>2558</v>
      </c>
      <c r="K22">
        <v>3536</v>
      </c>
    </row>
    <row r="23" spans="1:11" s="9" customFormat="1" ht="13.8" x14ac:dyDescent="0.25">
      <c r="A23" s="5" t="s">
        <v>85</v>
      </c>
      <c r="C23">
        <v>182.17</v>
      </c>
      <c r="D23">
        <v>1514.3</v>
      </c>
      <c r="E23">
        <v>1756.34</v>
      </c>
      <c r="F23">
        <v>1435</v>
      </c>
      <c r="G23">
        <v>3654.4</v>
      </c>
      <c r="H23">
        <v>4961</v>
      </c>
      <c r="I23">
        <v>6882</v>
      </c>
      <c r="J23">
        <v>10275</v>
      </c>
      <c r="K23">
        <v>3350</v>
      </c>
    </row>
    <row r="24" spans="1:11" s="9" customFormat="1" ht="13.8" x14ac:dyDescent="0.25">
      <c r="A24" s="5" t="s">
        <v>86</v>
      </c>
      <c r="C24">
        <v>33.590000000000003</v>
      </c>
      <c r="D24">
        <v>81.52</v>
      </c>
      <c r="E24">
        <v>130.1</v>
      </c>
      <c r="F24">
        <v>16.8</v>
      </c>
      <c r="G24">
        <v>43.8</v>
      </c>
      <c r="H24">
        <v>62</v>
      </c>
      <c r="I24">
        <v>76</v>
      </c>
      <c r="J24">
        <v>86</v>
      </c>
      <c r="K24">
        <v>16103</v>
      </c>
    </row>
    <row r="25" spans="1:11" s="9" customFormat="1" ht="13.8" x14ac:dyDescent="0.25">
      <c r="A25" s="9" t="s">
        <v>9</v>
      </c>
      <c r="C25">
        <v>21.03</v>
      </c>
      <c r="D25">
        <v>1285.05</v>
      </c>
      <c r="E25">
        <v>15.97</v>
      </c>
      <c r="F25">
        <v>-200.2</v>
      </c>
      <c r="G25">
        <v>792.6</v>
      </c>
      <c r="H25">
        <v>682</v>
      </c>
      <c r="I25">
        <v>846</v>
      </c>
      <c r="J25">
        <v>1066</v>
      </c>
      <c r="K25">
        <v>1396</v>
      </c>
    </row>
    <row r="26" spans="1:11" s="9" customFormat="1" ht="13.8" x14ac:dyDescent="0.25">
      <c r="A26" s="9" t="s">
        <v>10</v>
      </c>
      <c r="C26">
        <v>29.15</v>
      </c>
      <c r="D26">
        <v>43.12</v>
      </c>
      <c r="E26">
        <v>84.24</v>
      </c>
      <c r="F26">
        <v>137.69999999999999</v>
      </c>
      <c r="G26">
        <v>150.30000000000001</v>
      </c>
      <c r="H26">
        <v>437</v>
      </c>
      <c r="I26">
        <v>526</v>
      </c>
      <c r="J26">
        <v>863</v>
      </c>
      <c r="K26">
        <v>1597</v>
      </c>
    </row>
    <row r="27" spans="1:11" s="9" customFormat="1" ht="13.8" x14ac:dyDescent="0.25">
      <c r="A27" s="9" t="s">
        <v>11</v>
      </c>
      <c r="C27">
        <v>6.35</v>
      </c>
      <c r="D27">
        <v>8.69</v>
      </c>
      <c r="E27">
        <v>12.64</v>
      </c>
      <c r="F27">
        <v>10.1</v>
      </c>
      <c r="G27">
        <v>12</v>
      </c>
      <c r="H27">
        <v>49</v>
      </c>
      <c r="I27">
        <v>72</v>
      </c>
      <c r="J27">
        <v>154</v>
      </c>
      <c r="K27">
        <v>392</v>
      </c>
    </row>
    <row r="28" spans="1:11" s="9" customFormat="1" ht="13.8" x14ac:dyDescent="0.25">
      <c r="A28" s="9" t="s">
        <v>12</v>
      </c>
      <c r="C28">
        <v>-106.92</v>
      </c>
      <c r="D28">
        <v>-1010.24</v>
      </c>
      <c r="E28">
        <v>-2385.61</v>
      </c>
      <c r="F28">
        <v>-815.1</v>
      </c>
      <c r="G28">
        <v>-1220.5</v>
      </c>
      <c r="H28">
        <v>-1015</v>
      </c>
      <c r="I28">
        <v>291</v>
      </c>
      <c r="J28">
        <v>697</v>
      </c>
      <c r="K28">
        <v>615</v>
      </c>
    </row>
    <row r="29" spans="1:11" s="9" customFormat="1" ht="13.8" x14ac:dyDescent="0.25">
      <c r="A29" s="9" t="s">
        <v>13</v>
      </c>
      <c r="F29">
        <v>1.3</v>
      </c>
      <c r="G29">
        <v>2</v>
      </c>
      <c r="H29">
        <v>-44</v>
      </c>
      <c r="I29">
        <v>-60</v>
      </c>
      <c r="J29">
        <v>170</v>
      </c>
      <c r="K29">
        <v>249</v>
      </c>
    </row>
    <row r="30" spans="1:11" s="9" customFormat="1" ht="13.8" x14ac:dyDescent="0.25">
      <c r="A30" s="9" t="s">
        <v>14</v>
      </c>
      <c r="C30">
        <v>-103.68</v>
      </c>
      <c r="D30">
        <v>-964.95</v>
      </c>
      <c r="E30">
        <v>-2367.16</v>
      </c>
      <c r="F30">
        <v>-812.8</v>
      </c>
      <c r="G30">
        <v>-1208.7</v>
      </c>
      <c r="H30">
        <v>-971</v>
      </c>
      <c r="I30">
        <v>351</v>
      </c>
      <c r="J30">
        <v>527</v>
      </c>
      <c r="K30">
        <v>366</v>
      </c>
    </row>
    <row r="31" spans="1:11" s="9" customFormat="1" ht="13.8" x14ac:dyDescent="0.25">
      <c r="A31" s="9" t="s">
        <v>70</v>
      </c>
    </row>
    <row r="32" spans="1:11" s="9" customFormat="1" ht="13.8" x14ac:dyDescent="0.25"/>
    <row r="33" spans="1:11" ht="13.8" x14ac:dyDescent="0.25">
      <c r="A33" s="9"/>
    </row>
    <row r="34" spans="1:11" ht="13.8" x14ac:dyDescent="0.25">
      <c r="A34" s="9"/>
    </row>
    <row r="35" spans="1:11" ht="13.8" x14ac:dyDescent="0.25">
      <c r="A35" s="9"/>
    </row>
    <row r="36" spans="1:11" ht="13.8" x14ac:dyDescent="0.25">
      <c r="A36" s="9"/>
    </row>
    <row r="37" spans="1:11" ht="13.8" x14ac:dyDescent="0.25">
      <c r="A37" s="9"/>
    </row>
    <row r="38" spans="1:11" ht="13.8" x14ac:dyDescent="0.25">
      <c r="A38" s="9"/>
    </row>
    <row r="39" spans="1:11" ht="13.8" x14ac:dyDescent="0.25">
      <c r="A39" s="9"/>
    </row>
    <row r="40" spans="1:11" ht="13.8" x14ac:dyDescent="0.25">
      <c r="A40" s="1" t="s">
        <v>39</v>
      </c>
    </row>
    <row r="41" spans="1:11" s="24" customFormat="1" ht="13.8" x14ac:dyDescent="0.25">
      <c r="A41" s="23" t="s">
        <v>38</v>
      </c>
      <c r="B41" s="16">
        <v>45291</v>
      </c>
      <c r="C41" s="16">
        <v>45382</v>
      </c>
      <c r="D41" s="16">
        <v>45473</v>
      </c>
      <c r="E41" s="16">
        <v>45565</v>
      </c>
      <c r="F41" s="16">
        <v>45657</v>
      </c>
      <c r="G41" s="16">
        <v>45747</v>
      </c>
      <c r="H41" s="16">
        <v>45838</v>
      </c>
      <c r="I41" s="16">
        <v>45930</v>
      </c>
      <c r="J41" s="16">
        <v>46022</v>
      </c>
      <c r="K41" s="16">
        <v>46112</v>
      </c>
    </row>
    <row r="42" spans="1:11" s="9" customFormat="1" ht="13.8" x14ac:dyDescent="0.25">
      <c r="A42" s="9" t="s">
        <v>6</v>
      </c>
      <c r="B42">
        <v>3288</v>
      </c>
      <c r="C42">
        <v>3562</v>
      </c>
      <c r="D42">
        <v>4206</v>
      </c>
      <c r="E42">
        <v>4799</v>
      </c>
      <c r="F42">
        <v>5405</v>
      </c>
      <c r="G42">
        <v>5833</v>
      </c>
      <c r="H42">
        <v>7167</v>
      </c>
      <c r="I42">
        <v>13590</v>
      </c>
      <c r="J42">
        <v>16315</v>
      </c>
      <c r="K42">
        <v>17292</v>
      </c>
    </row>
    <row r="43" spans="1:11" s="9" customFormat="1" ht="13.8" x14ac:dyDescent="0.25">
      <c r="A43" s="9" t="s">
        <v>7</v>
      </c>
      <c r="B43">
        <v>3237</v>
      </c>
      <c r="C43">
        <v>3476</v>
      </c>
      <c r="D43">
        <v>4029</v>
      </c>
      <c r="E43">
        <v>4573</v>
      </c>
      <c r="F43">
        <v>5243</v>
      </c>
      <c r="G43">
        <v>5761</v>
      </c>
      <c r="H43">
        <v>7052</v>
      </c>
      <c r="I43">
        <v>13351</v>
      </c>
      <c r="J43">
        <v>15947</v>
      </c>
      <c r="K43">
        <v>16806</v>
      </c>
    </row>
    <row r="44" spans="1:11" s="9" customFormat="1" ht="13.8" x14ac:dyDescent="0.25">
      <c r="A44" s="9" t="s">
        <v>9</v>
      </c>
      <c r="B44">
        <v>219</v>
      </c>
      <c r="C44">
        <v>235</v>
      </c>
      <c r="D44">
        <v>236</v>
      </c>
      <c r="E44">
        <v>221</v>
      </c>
      <c r="F44">
        <v>252</v>
      </c>
      <c r="G44">
        <v>368</v>
      </c>
      <c r="H44">
        <v>354</v>
      </c>
      <c r="I44">
        <v>352</v>
      </c>
      <c r="J44">
        <v>348</v>
      </c>
      <c r="K44">
        <v>342</v>
      </c>
    </row>
    <row r="45" spans="1:11" s="9" customFormat="1" ht="13.8" x14ac:dyDescent="0.25">
      <c r="A45" s="9" t="s">
        <v>10</v>
      </c>
      <c r="B45">
        <v>128</v>
      </c>
      <c r="C45">
        <v>140</v>
      </c>
      <c r="D45">
        <v>149</v>
      </c>
      <c r="E45">
        <v>180</v>
      </c>
      <c r="F45">
        <v>247</v>
      </c>
      <c r="G45">
        <v>287</v>
      </c>
      <c r="H45">
        <v>314</v>
      </c>
      <c r="I45">
        <v>376</v>
      </c>
      <c r="J45">
        <v>439</v>
      </c>
      <c r="K45">
        <v>468</v>
      </c>
    </row>
    <row r="46" spans="1:11" s="9" customFormat="1" ht="13.8" x14ac:dyDescent="0.25">
      <c r="A46" s="9" t="s">
        <v>11</v>
      </c>
      <c r="B46">
        <v>18</v>
      </c>
      <c r="C46">
        <v>20</v>
      </c>
      <c r="D46">
        <v>25</v>
      </c>
      <c r="E46">
        <v>30</v>
      </c>
      <c r="F46">
        <v>43</v>
      </c>
      <c r="G46">
        <v>56</v>
      </c>
      <c r="H46">
        <v>67</v>
      </c>
      <c r="I46">
        <v>86</v>
      </c>
      <c r="J46">
        <v>107</v>
      </c>
      <c r="K46">
        <v>132</v>
      </c>
    </row>
    <row r="47" spans="1:11" s="9" customFormat="1" ht="13.8" x14ac:dyDescent="0.25">
      <c r="A47" s="9" t="s">
        <v>12</v>
      </c>
      <c r="B47">
        <v>124</v>
      </c>
      <c r="C47">
        <v>161</v>
      </c>
      <c r="D47">
        <v>239</v>
      </c>
      <c r="E47">
        <v>237</v>
      </c>
      <c r="F47">
        <v>124</v>
      </c>
      <c r="G47">
        <v>97</v>
      </c>
      <c r="H47">
        <v>88</v>
      </c>
      <c r="I47">
        <v>129</v>
      </c>
      <c r="J47">
        <v>170</v>
      </c>
      <c r="K47">
        <v>228</v>
      </c>
    </row>
    <row r="48" spans="1:11" s="9" customFormat="1" ht="13.8" x14ac:dyDescent="0.25">
      <c r="A48" s="9" t="s">
        <v>13</v>
      </c>
      <c r="B48">
        <v>-14</v>
      </c>
      <c r="C48">
        <v>-14</v>
      </c>
      <c r="D48">
        <v>-14</v>
      </c>
      <c r="E48">
        <v>61</v>
      </c>
      <c r="F48">
        <v>65</v>
      </c>
      <c r="G48">
        <v>58</v>
      </c>
      <c r="H48">
        <v>63</v>
      </c>
      <c r="I48">
        <v>64</v>
      </c>
      <c r="J48">
        <v>68</v>
      </c>
      <c r="K48">
        <v>54</v>
      </c>
    </row>
    <row r="49" spans="1:11" s="9" customFormat="1" ht="13.8" x14ac:dyDescent="0.25">
      <c r="A49" s="9" t="s">
        <v>14</v>
      </c>
      <c r="B49">
        <v>138</v>
      </c>
      <c r="C49">
        <v>175</v>
      </c>
      <c r="D49">
        <v>253</v>
      </c>
      <c r="E49">
        <v>176</v>
      </c>
      <c r="F49">
        <v>59</v>
      </c>
      <c r="G49">
        <v>39</v>
      </c>
      <c r="H49">
        <v>25</v>
      </c>
      <c r="I49">
        <v>65</v>
      </c>
      <c r="J49">
        <v>102</v>
      </c>
      <c r="K49">
        <v>174</v>
      </c>
    </row>
    <row r="50" spans="1:11" ht="13.8" x14ac:dyDescent="0.25">
      <c r="A50" s="9" t="s">
        <v>8</v>
      </c>
      <c r="B50">
        <v>51</v>
      </c>
      <c r="C50">
        <v>86</v>
      </c>
      <c r="D50">
        <v>177</v>
      </c>
      <c r="E50">
        <v>226</v>
      </c>
      <c r="F50">
        <v>162</v>
      </c>
      <c r="G50">
        <v>72</v>
      </c>
      <c r="H50">
        <v>115</v>
      </c>
      <c r="I50">
        <v>239</v>
      </c>
      <c r="J50">
        <v>368</v>
      </c>
      <c r="K50">
        <v>486</v>
      </c>
    </row>
    <row r="51" spans="1:11" ht="13.8" x14ac:dyDescent="0.25">
      <c r="A51" s="9"/>
    </row>
    <row r="52" spans="1:11" ht="13.8" x14ac:dyDescent="0.25">
      <c r="A52" s="9"/>
    </row>
    <row r="53" spans="1:11" ht="13.8" x14ac:dyDescent="0.25">
      <c r="A53" s="9"/>
    </row>
    <row r="54" spans="1:11" ht="13.8" x14ac:dyDescent="0.25">
      <c r="A54" s="9"/>
    </row>
    <row r="55" spans="1:11" ht="13.8" x14ac:dyDescent="0.25">
      <c r="A55" s="1" t="s">
        <v>40</v>
      </c>
    </row>
    <row r="56" spans="1:11" s="24" customFormat="1" ht="13.8" x14ac:dyDescent="0.25">
      <c r="A56" s="23" t="s">
        <v>38</v>
      </c>
      <c r="B56" s="16"/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ht="13.8" x14ac:dyDescent="0.25">
      <c r="A57" s="9" t="s">
        <v>24</v>
      </c>
      <c r="C57">
        <v>0.03</v>
      </c>
      <c r="D57">
        <v>0.03</v>
      </c>
      <c r="E57">
        <v>0.03</v>
      </c>
      <c r="G57">
        <v>764.3</v>
      </c>
      <c r="H57">
        <v>836</v>
      </c>
      <c r="I57">
        <v>868</v>
      </c>
      <c r="J57">
        <v>907</v>
      </c>
      <c r="K57">
        <v>919</v>
      </c>
    </row>
    <row r="58" spans="1:11" ht="13.8" x14ac:dyDescent="0.25">
      <c r="A58" s="9" t="s">
        <v>25</v>
      </c>
      <c r="C58">
        <v>1036.06</v>
      </c>
      <c r="D58">
        <v>2355.61</v>
      </c>
      <c r="E58">
        <v>457.35</v>
      </c>
      <c r="F58">
        <v>7643.8</v>
      </c>
      <c r="G58">
        <v>15741.2</v>
      </c>
      <c r="H58">
        <v>18624</v>
      </c>
      <c r="I58">
        <v>19545</v>
      </c>
      <c r="J58">
        <v>29410</v>
      </c>
      <c r="K58">
        <v>30061</v>
      </c>
    </row>
    <row r="59" spans="1:11" ht="13.8" x14ac:dyDescent="0.25">
      <c r="A59" s="9" t="s">
        <v>71</v>
      </c>
      <c r="C59">
        <v>186.23</v>
      </c>
      <c r="D59">
        <v>347.94</v>
      </c>
      <c r="E59">
        <v>325.58</v>
      </c>
      <c r="F59">
        <v>527.4</v>
      </c>
      <c r="G59">
        <v>70.3</v>
      </c>
      <c r="H59">
        <v>507</v>
      </c>
      <c r="I59">
        <v>749</v>
      </c>
      <c r="J59">
        <v>2045</v>
      </c>
      <c r="K59">
        <v>4592</v>
      </c>
    </row>
    <row r="60" spans="1:11" ht="13.8" x14ac:dyDescent="0.25">
      <c r="A60" s="9" t="s">
        <v>72</v>
      </c>
      <c r="C60">
        <v>152.16999999999999</v>
      </c>
      <c r="D60">
        <v>709.3</v>
      </c>
      <c r="E60">
        <v>2117.4299999999998</v>
      </c>
      <c r="F60">
        <v>532.29999999999995</v>
      </c>
      <c r="G60">
        <v>751.2</v>
      </c>
      <c r="H60">
        <v>1632</v>
      </c>
      <c r="I60">
        <v>2194</v>
      </c>
      <c r="J60">
        <v>3261</v>
      </c>
      <c r="K60">
        <v>5164</v>
      </c>
    </row>
    <row r="61" spans="1:11" s="1" customFormat="1" ht="13.8" x14ac:dyDescent="0.25">
      <c r="A61" s="1" t="s">
        <v>26</v>
      </c>
      <c r="C61">
        <v>1374.49</v>
      </c>
      <c r="D61">
        <v>3412.88</v>
      </c>
      <c r="E61">
        <v>2900.39</v>
      </c>
      <c r="F61">
        <v>8703.5</v>
      </c>
      <c r="G61">
        <v>17327</v>
      </c>
      <c r="H61">
        <v>21599</v>
      </c>
      <c r="I61">
        <v>23356</v>
      </c>
      <c r="J61">
        <v>35623</v>
      </c>
      <c r="K61">
        <v>40736</v>
      </c>
    </row>
    <row r="62" spans="1:11" ht="13.8" x14ac:dyDescent="0.25">
      <c r="A62" s="9" t="s">
        <v>27</v>
      </c>
      <c r="C62">
        <v>189.8</v>
      </c>
      <c r="D62">
        <v>389.08</v>
      </c>
      <c r="E62">
        <v>1590.55</v>
      </c>
      <c r="F62">
        <v>1539</v>
      </c>
      <c r="G62">
        <v>1404.3</v>
      </c>
      <c r="H62">
        <v>6344</v>
      </c>
      <c r="I62">
        <v>6448</v>
      </c>
      <c r="J62">
        <v>9532</v>
      </c>
      <c r="K62">
        <v>12675</v>
      </c>
    </row>
    <row r="63" spans="1:11" ht="13.8" x14ac:dyDescent="0.25">
      <c r="A63" s="9" t="s">
        <v>28</v>
      </c>
      <c r="C63">
        <v>1.29</v>
      </c>
      <c r="D63">
        <v>0.74</v>
      </c>
      <c r="E63">
        <v>0.96</v>
      </c>
      <c r="F63">
        <v>0.1</v>
      </c>
      <c r="G63">
        <v>0.6</v>
      </c>
      <c r="H63">
        <v>7</v>
      </c>
      <c r="I63">
        <v>18</v>
      </c>
      <c r="J63">
        <v>51</v>
      </c>
      <c r="K63">
        <v>136</v>
      </c>
    </row>
    <row r="64" spans="1:11" ht="13.8" x14ac:dyDescent="0.25">
      <c r="A64" s="9" t="s">
        <v>29</v>
      </c>
      <c r="C64">
        <v>829.23</v>
      </c>
      <c r="D64">
        <v>2144.5500000000002</v>
      </c>
      <c r="E64">
        <v>323.92</v>
      </c>
      <c r="F64">
        <v>2205.1999999999998</v>
      </c>
      <c r="G64">
        <v>4717.7</v>
      </c>
      <c r="H64">
        <v>6765</v>
      </c>
      <c r="I64">
        <v>11645</v>
      </c>
      <c r="J64">
        <v>13192</v>
      </c>
      <c r="K64">
        <v>14833</v>
      </c>
    </row>
    <row r="65" spans="1:11" ht="13.8" x14ac:dyDescent="0.25">
      <c r="A65" s="9" t="s">
        <v>73</v>
      </c>
      <c r="C65">
        <v>354.17</v>
      </c>
      <c r="D65">
        <v>878.51</v>
      </c>
      <c r="E65">
        <v>984.96</v>
      </c>
      <c r="F65">
        <v>4959.2</v>
      </c>
      <c r="G65">
        <v>11204.4</v>
      </c>
      <c r="H65">
        <v>8483</v>
      </c>
      <c r="I65">
        <v>5245</v>
      </c>
      <c r="J65">
        <v>12848</v>
      </c>
      <c r="K65">
        <v>13092</v>
      </c>
    </row>
    <row r="66" spans="1:11" s="1" customFormat="1" ht="13.8" x14ac:dyDescent="0.25">
      <c r="A66" s="1" t="s">
        <v>26</v>
      </c>
      <c r="C66">
        <v>1374.49</v>
      </c>
      <c r="D66">
        <v>3412.88</v>
      </c>
      <c r="E66">
        <v>2900.39</v>
      </c>
      <c r="F66">
        <v>8703.5</v>
      </c>
      <c r="G66">
        <v>17327</v>
      </c>
      <c r="H66">
        <v>21599</v>
      </c>
      <c r="I66">
        <v>23356</v>
      </c>
      <c r="J66">
        <v>35623</v>
      </c>
      <c r="K66">
        <v>40736</v>
      </c>
    </row>
    <row r="67" spans="1:11" s="9" customFormat="1" ht="13.8" x14ac:dyDescent="0.25">
      <c r="A67" s="9" t="s">
        <v>78</v>
      </c>
      <c r="C67">
        <v>26.08</v>
      </c>
      <c r="D67">
        <v>70.34</v>
      </c>
      <c r="E67">
        <v>123.12</v>
      </c>
      <c r="F67">
        <v>129.9</v>
      </c>
      <c r="G67">
        <v>159.9</v>
      </c>
      <c r="H67">
        <v>457</v>
      </c>
      <c r="I67">
        <v>794</v>
      </c>
      <c r="J67">
        <v>1946</v>
      </c>
      <c r="K67">
        <v>1764</v>
      </c>
    </row>
    <row r="68" spans="1:11" ht="13.8" x14ac:dyDescent="0.25">
      <c r="A68" s="9" t="s">
        <v>45</v>
      </c>
      <c r="D68">
        <v>2.13</v>
      </c>
      <c r="E68">
        <v>3.73</v>
      </c>
      <c r="F68">
        <v>14.8</v>
      </c>
      <c r="G68">
        <v>39.700000000000003</v>
      </c>
      <c r="H68">
        <v>83</v>
      </c>
      <c r="I68">
        <v>88</v>
      </c>
      <c r="J68">
        <v>176</v>
      </c>
      <c r="K68">
        <v>2181</v>
      </c>
    </row>
    <row r="69" spans="1:11" ht="13.8" x14ac:dyDescent="0.25">
      <c r="A69" s="5" t="s">
        <v>87</v>
      </c>
      <c r="C69">
        <v>208.07</v>
      </c>
      <c r="D69">
        <v>238.69</v>
      </c>
      <c r="E69">
        <v>359.88</v>
      </c>
      <c r="F69">
        <v>903.6</v>
      </c>
      <c r="G69">
        <v>1575.5</v>
      </c>
      <c r="H69">
        <v>1017</v>
      </c>
      <c r="I69">
        <v>731</v>
      </c>
      <c r="J69">
        <v>3614</v>
      </c>
      <c r="K69">
        <v>1523</v>
      </c>
    </row>
    <row r="70" spans="1:11" ht="13.8" x14ac:dyDescent="0.25">
      <c r="A70" s="5" t="s">
        <v>74</v>
      </c>
      <c r="C70">
        <v>337694</v>
      </c>
      <c r="D70">
        <v>337694</v>
      </c>
      <c r="E70">
        <v>337694</v>
      </c>
      <c r="F70">
        <v>309711</v>
      </c>
      <c r="G70">
        <v>7642940578</v>
      </c>
      <c r="H70">
        <v>8363975413</v>
      </c>
      <c r="I70">
        <v>8680255038</v>
      </c>
      <c r="J70">
        <v>9070000000</v>
      </c>
    </row>
    <row r="71" spans="1:11" ht="13.8" x14ac:dyDescent="0.25">
      <c r="A71" s="5" t="s">
        <v>75</v>
      </c>
      <c r="I71">
        <v>32503548</v>
      </c>
    </row>
    <row r="72" spans="1:11" ht="13.8" x14ac:dyDescent="0.25">
      <c r="A72" s="5" t="s">
        <v>88</v>
      </c>
      <c r="C72">
        <v>1</v>
      </c>
      <c r="D72">
        <v>1</v>
      </c>
      <c r="E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ht="13.8" x14ac:dyDescent="0.25">
      <c r="A74" s="9"/>
    </row>
    <row r="75" spans="1:11" ht="13.8" x14ac:dyDescent="0.25">
      <c r="A75" s="9"/>
    </row>
    <row r="76" spans="1:11" ht="13.8" x14ac:dyDescent="0.25">
      <c r="A76" s="9"/>
    </row>
    <row r="77" spans="1:11" ht="13.8" x14ac:dyDescent="0.25">
      <c r="A77" s="9"/>
    </row>
    <row r="78" spans="1:11" ht="13.8" x14ac:dyDescent="0.25">
      <c r="A78" s="9"/>
    </row>
    <row r="79" spans="1:11" ht="13.8" x14ac:dyDescent="0.25">
      <c r="A79" s="9"/>
    </row>
    <row r="80" spans="1:11" ht="13.8" x14ac:dyDescent="0.25">
      <c r="A80" s="1" t="s">
        <v>41</v>
      </c>
    </row>
    <row r="81" spans="1:11" s="24" customFormat="1" ht="13.8" x14ac:dyDescent="0.25">
      <c r="A81" s="23" t="s">
        <v>38</v>
      </c>
      <c r="B81" s="16"/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ht="13.8" x14ac:dyDescent="0.25">
      <c r="A82" s="9" t="s">
        <v>32</v>
      </c>
      <c r="E82">
        <v>-2143.63</v>
      </c>
      <c r="F82">
        <v>-1017.9</v>
      </c>
      <c r="G82">
        <v>-693</v>
      </c>
      <c r="H82">
        <v>-844</v>
      </c>
      <c r="I82">
        <v>646</v>
      </c>
      <c r="J82">
        <v>308</v>
      </c>
      <c r="K82">
        <v>632</v>
      </c>
    </row>
    <row r="83" spans="1:11" s="9" customFormat="1" ht="13.8" x14ac:dyDescent="0.25">
      <c r="A83" s="9" t="s">
        <v>33</v>
      </c>
      <c r="E83">
        <v>1739.51</v>
      </c>
      <c r="F83">
        <v>-5244.6</v>
      </c>
      <c r="G83">
        <v>-7971</v>
      </c>
      <c r="H83">
        <v>797</v>
      </c>
      <c r="I83">
        <v>-348</v>
      </c>
      <c r="J83">
        <v>-7993</v>
      </c>
      <c r="K83">
        <v>536</v>
      </c>
    </row>
    <row r="84" spans="1:11" s="9" customFormat="1" ht="13.8" x14ac:dyDescent="0.25">
      <c r="A84" s="9" t="s">
        <v>34</v>
      </c>
      <c r="E84">
        <v>358.91</v>
      </c>
      <c r="F84">
        <v>6401.9</v>
      </c>
      <c r="G84">
        <v>8749.7999999999993</v>
      </c>
      <c r="H84">
        <v>-127</v>
      </c>
      <c r="I84">
        <v>-207</v>
      </c>
      <c r="J84">
        <v>8042</v>
      </c>
      <c r="K84">
        <v>-842</v>
      </c>
    </row>
    <row r="85" spans="1:11" s="1" customFormat="1" ht="13.8" x14ac:dyDescent="0.25">
      <c r="A85" s="9" t="s">
        <v>35</v>
      </c>
      <c r="E85">
        <v>-45.22</v>
      </c>
      <c r="F85">
        <v>139.4</v>
      </c>
      <c r="G85">
        <v>85.8</v>
      </c>
      <c r="H85">
        <v>-174</v>
      </c>
      <c r="I85">
        <v>91</v>
      </c>
      <c r="J85">
        <v>357</v>
      </c>
      <c r="K85">
        <v>326</v>
      </c>
    </row>
    <row r="86" spans="1:11" ht="13.8" x14ac:dyDescent="0.25">
      <c r="A86" s="9"/>
    </row>
    <row r="87" spans="1:11" ht="13.8" x14ac:dyDescent="0.25">
      <c r="A87" s="9"/>
    </row>
    <row r="88" spans="1:11" ht="13.8" x14ac:dyDescent="0.25">
      <c r="A88" s="9"/>
    </row>
    <row r="89" spans="1:11" ht="13.8" x14ac:dyDescent="0.25">
      <c r="A89" s="9"/>
    </row>
    <row r="90" spans="1:11" s="1" customFormat="1" ht="13.8" x14ac:dyDescent="0.25">
      <c r="A90" s="1" t="s">
        <v>77</v>
      </c>
      <c r="G90">
        <v>82.3</v>
      </c>
      <c r="H90">
        <v>51</v>
      </c>
      <c r="I90">
        <v>182.1</v>
      </c>
      <c r="J90">
        <v>201.7</v>
      </c>
      <c r="K90">
        <v>228.98</v>
      </c>
    </row>
    <row r="92" spans="1:11" s="1" customFormat="1" ht="13.8" x14ac:dyDescent="0.25">
      <c r="A92" s="1" t="s">
        <v>76</v>
      </c>
    </row>
    <row r="93" spans="1:11" ht="13.8" x14ac:dyDescent="0.25">
      <c r="A93" s="5" t="s">
        <v>89</v>
      </c>
      <c r="B93" s="31">
        <f>IF($B7&gt;0,(B70*B72/$B7)+SUM(C71:$K71),0)/10000000</f>
        <v>3.2503548000000002</v>
      </c>
      <c r="C93" s="31">
        <v>0.03</v>
      </c>
      <c r="D93" s="31">
        <v>0.03</v>
      </c>
      <c r="E93" s="31">
        <v>0.03</v>
      </c>
      <c r="F93" s="31">
        <v>0.04</v>
      </c>
      <c r="G93" s="31">
        <v>787.19</v>
      </c>
      <c r="H93" s="31">
        <v>855.35</v>
      </c>
      <c r="I93" s="31">
        <v>881.98</v>
      </c>
      <c r="J93" s="31">
        <v>965.04</v>
      </c>
      <c r="K93" s="31">
        <v>965.04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B9" sqref="B9"/>
    </sheetView>
  </sheetViews>
  <sheetFormatPr defaultRowHeight="13.8" x14ac:dyDescent="0.25"/>
  <sheetData>
    <row r="3" spans="1:3" x14ac:dyDescent="0.25">
      <c r="A3" s="76"/>
      <c r="B3" s="77"/>
      <c r="C3" s="78"/>
    </row>
    <row r="4" spans="1:3" x14ac:dyDescent="0.25">
      <c r="A4" s="79"/>
      <c r="B4" s="80"/>
      <c r="C4" s="81"/>
    </row>
    <row r="5" spans="1:3" x14ac:dyDescent="0.25">
      <c r="A5" s="79"/>
      <c r="B5" s="80"/>
      <c r="C5" s="81"/>
    </row>
    <row r="6" spans="1:3" x14ac:dyDescent="0.25">
      <c r="A6" s="79"/>
      <c r="B6" s="80"/>
      <c r="C6" s="81"/>
    </row>
    <row r="7" spans="1:3" x14ac:dyDescent="0.25">
      <c r="A7" s="79"/>
      <c r="B7" s="80"/>
      <c r="C7" s="81"/>
    </row>
    <row r="8" spans="1:3" x14ac:dyDescent="0.25">
      <c r="A8" s="79"/>
      <c r="B8" s="80"/>
      <c r="C8" s="81"/>
    </row>
    <row r="9" spans="1:3" x14ac:dyDescent="0.25">
      <c r="A9" s="79"/>
      <c r="B9" s="80"/>
      <c r="C9" s="81"/>
    </row>
    <row r="10" spans="1:3" x14ac:dyDescent="0.25">
      <c r="A10" s="79"/>
      <c r="B10" s="80"/>
      <c r="C10" s="81"/>
    </row>
    <row r="11" spans="1:3" x14ac:dyDescent="0.25">
      <c r="A11" s="79"/>
      <c r="B11" s="80"/>
      <c r="C11" s="81"/>
    </row>
    <row r="12" spans="1:3" x14ac:dyDescent="0.25">
      <c r="A12" s="79"/>
      <c r="B12" s="80"/>
      <c r="C12" s="81"/>
    </row>
    <row r="13" spans="1:3" x14ac:dyDescent="0.25">
      <c r="A13" s="79"/>
      <c r="B13" s="80"/>
      <c r="C13" s="81"/>
    </row>
    <row r="14" spans="1:3" x14ac:dyDescent="0.25">
      <c r="A14" s="79"/>
      <c r="B14" s="80"/>
      <c r="C14" s="81"/>
    </row>
    <row r="15" spans="1:3" x14ac:dyDescent="0.25">
      <c r="A15" s="79"/>
      <c r="B15" s="80"/>
      <c r="C15" s="81"/>
    </row>
    <row r="16" spans="1:3" x14ac:dyDescent="0.25">
      <c r="A16" s="79"/>
      <c r="B16" s="80"/>
      <c r="C16" s="81"/>
    </row>
    <row r="17" spans="1:3" x14ac:dyDescent="0.25">
      <c r="A17" s="79"/>
      <c r="B17" s="80"/>
      <c r="C17" s="81"/>
    </row>
    <row r="18" spans="1:3" x14ac:dyDescent="0.25">
      <c r="A18" s="79"/>
      <c r="B18" s="80"/>
      <c r="C18" s="81"/>
    </row>
    <row r="19" spans="1:3" x14ac:dyDescent="0.25">
      <c r="A19" s="79"/>
      <c r="B19" s="80"/>
      <c r="C19" s="81"/>
    </row>
    <row r="20" spans="1:3" x14ac:dyDescent="0.25">
      <c r="A20" s="82"/>
      <c r="B20" s="83"/>
      <c r="C20" s="8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191"/>
  <sheetViews>
    <sheetView showGridLines="0" tabSelected="1" zoomScale="96" zoomScaleNormal="96" workbookViewId="0">
      <selection activeCell="F107" sqref="F107"/>
    </sheetView>
  </sheetViews>
  <sheetFormatPr defaultRowHeight="13.8" x14ac:dyDescent="0.25"/>
  <cols>
    <col min="1" max="1" width="2.296875" customWidth="1"/>
    <col min="3" max="3" width="20.796875" customWidth="1"/>
    <col min="4" max="4" width="14.09765625" customWidth="1"/>
    <col min="5" max="5" width="12.5" customWidth="1"/>
    <col min="6" max="6" width="15.09765625" customWidth="1"/>
    <col min="7" max="7" width="13.69921875" customWidth="1"/>
    <col min="8" max="8" width="13.8984375" customWidth="1"/>
    <col min="9" max="9" width="11.69921875" customWidth="1"/>
    <col min="10" max="10" width="13" customWidth="1"/>
    <col min="11" max="11" width="10.796875" customWidth="1"/>
    <col min="12" max="12" width="12.69921875" customWidth="1"/>
    <col min="13" max="13" width="12" customWidth="1"/>
  </cols>
  <sheetData>
    <row r="3" spans="1:24" ht="34.200000000000003" customHeight="1" x14ac:dyDescent="0.5">
      <c r="A3" s="33"/>
      <c r="B3" s="33"/>
      <c r="C3" s="33" t="s">
        <v>93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5" customHeight="1" x14ac:dyDescent="0.5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</row>
    <row r="14" spans="1:24" ht="27.6" x14ac:dyDescent="0.45">
      <c r="B14" s="35"/>
      <c r="C14" s="35" t="s">
        <v>95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</row>
    <row r="15" spans="1:24" x14ac:dyDescent="0.25">
      <c r="B15" t="s">
        <v>103</v>
      </c>
    </row>
    <row r="16" spans="1:24" x14ac:dyDescent="0.25">
      <c r="B16" t="s">
        <v>96</v>
      </c>
      <c r="C16" t="s">
        <v>102</v>
      </c>
    </row>
    <row r="17" spans="2:17" x14ac:dyDescent="0.25">
      <c r="B17" t="s">
        <v>96</v>
      </c>
      <c r="C17" t="s">
        <v>159</v>
      </c>
    </row>
    <row r="18" spans="2:17" x14ac:dyDescent="0.25">
      <c r="B18" t="s">
        <v>96</v>
      </c>
      <c r="C18" t="s">
        <v>104</v>
      </c>
      <c r="D18" s="48"/>
    </row>
    <row r="19" spans="2:17" x14ac:dyDescent="0.25">
      <c r="B19" t="s">
        <v>96</v>
      </c>
      <c r="C19" t="s">
        <v>97</v>
      </c>
    </row>
    <row r="20" spans="2:17" x14ac:dyDescent="0.25">
      <c r="B20" t="s">
        <v>96</v>
      </c>
      <c r="C20" t="s">
        <v>105</v>
      </c>
    </row>
    <row r="21" spans="2:17" x14ac:dyDescent="0.25">
      <c r="B21" t="s">
        <v>96</v>
      </c>
      <c r="C21" t="s">
        <v>98</v>
      </c>
    </row>
    <row r="23" spans="2:17" s="36" customFormat="1" ht="27.6" x14ac:dyDescent="0.45">
      <c r="C23" s="35" t="s">
        <v>99</v>
      </c>
      <c r="D23" s="35"/>
    </row>
    <row r="25" spans="2:17" ht="20.399999999999999" x14ac:dyDescent="0.35">
      <c r="B25" s="37" t="s">
        <v>100</v>
      </c>
      <c r="C25" s="37"/>
      <c r="D25" s="38"/>
      <c r="E25" s="38"/>
    </row>
    <row r="27" spans="2:17" ht="20.399999999999999" x14ac:dyDescent="0.35">
      <c r="B27" s="39"/>
      <c r="C27" s="39" t="s">
        <v>101</v>
      </c>
      <c r="D27" s="39"/>
      <c r="E27" s="39"/>
      <c r="F27" s="39"/>
      <c r="G27" s="39"/>
      <c r="H27" s="39">
        <v>2022</v>
      </c>
      <c r="I27" s="39">
        <v>2023</v>
      </c>
      <c r="J27" s="39">
        <v>2024</v>
      </c>
      <c r="K27" s="39">
        <v>2025</v>
      </c>
      <c r="L27" s="39">
        <v>2026</v>
      </c>
      <c r="M27" s="39"/>
      <c r="N27" s="39"/>
      <c r="O27" s="39"/>
      <c r="P27" s="39"/>
      <c r="Q27" s="39"/>
    </row>
    <row r="30" spans="2:17" x14ac:dyDescent="0.25">
      <c r="C30" s="38" t="s">
        <v>164</v>
      </c>
      <c r="D30" s="38"/>
      <c r="H30" s="38">
        <f>'Data Sheet'!G17</f>
        <v>4192.3999999999996</v>
      </c>
      <c r="I30" s="38">
        <f>'Data Sheet'!H17</f>
        <v>7079</v>
      </c>
      <c r="J30" s="38">
        <f>'Data Sheet'!I17</f>
        <v>12114</v>
      </c>
      <c r="K30" s="38">
        <f>'Data Sheet'!J17</f>
        <v>20243</v>
      </c>
      <c r="L30" s="38">
        <f>'Data Sheet'!K17</f>
        <v>54364</v>
      </c>
    </row>
    <row r="31" spans="2:17" x14ac:dyDescent="0.25">
      <c r="C31" s="38" t="s">
        <v>106</v>
      </c>
      <c r="D31" s="38"/>
      <c r="I31" s="40">
        <f>I30/H30-1</f>
        <v>0.6885316286613874</v>
      </c>
      <c r="J31" s="40">
        <f>J30/I30-1</f>
        <v>0.71125865235202723</v>
      </c>
      <c r="K31" s="40">
        <f>K30/J30-1</f>
        <v>0.67104176985306263</v>
      </c>
      <c r="L31" s="40">
        <f>L30/K30-1</f>
        <v>1.6855703206046533</v>
      </c>
    </row>
    <row r="32" spans="2:17" x14ac:dyDescent="0.25">
      <c r="C32" s="38" t="s">
        <v>107</v>
      </c>
      <c r="D32" s="38"/>
      <c r="H32" s="38">
        <f>'Data Sheet'!G18+'Data Sheet'!G20+'Data Sheet'!G21-'Data Sheet'!G19</f>
        <v>711.90000000000009</v>
      </c>
      <c r="I32" s="38">
        <f>'Data Sheet'!H18+'Data Sheet'!H20+'Data Sheet'!H21-'Data Sheet'!H19</f>
        <v>1802</v>
      </c>
      <c r="J32" s="38">
        <f>'Data Sheet'!I18+'Data Sheet'!I20+'Data Sheet'!I21-'Data Sheet'!I19</f>
        <v>3454</v>
      </c>
      <c r="K32" s="38">
        <f>'Data Sheet'!J18+'Data Sheet'!J20+'Data Sheet'!J21-'Data Sheet'!J19</f>
        <v>6676</v>
      </c>
      <c r="L32" s="38">
        <f>'Data Sheet'!K18+'Data Sheet'!K20+'Data Sheet'!K21-'Data Sheet'!K19</f>
        <v>30167</v>
      </c>
    </row>
    <row r="33" spans="3:21" x14ac:dyDescent="0.25">
      <c r="C33" s="38" t="s">
        <v>108</v>
      </c>
      <c r="D33" s="38"/>
      <c r="H33" s="40">
        <f>H32/H30</f>
        <v>0.16980727029863565</v>
      </c>
      <c r="I33" s="40">
        <f>I32/I30</f>
        <v>0.25455572821019917</v>
      </c>
      <c r="J33" s="40">
        <f>J32/J30</f>
        <v>0.28512464916625391</v>
      </c>
      <c r="K33" s="40">
        <f>K32/K30</f>
        <v>0.32979301486933754</v>
      </c>
      <c r="L33" s="40">
        <f>L32/L30</f>
        <v>0.55490765948053855</v>
      </c>
    </row>
    <row r="34" spans="3:21" x14ac:dyDescent="0.25">
      <c r="C34" s="38" t="s">
        <v>109</v>
      </c>
      <c r="D34" s="38"/>
      <c r="H34" s="38">
        <f>H30-H32</f>
        <v>3480.4999999999995</v>
      </c>
      <c r="I34" s="38">
        <f>I30-I32</f>
        <v>5277</v>
      </c>
      <c r="J34" s="38">
        <f t="shared" ref="J34:L34" si="0">J30-J32</f>
        <v>8660</v>
      </c>
      <c r="K34" s="38">
        <f t="shared" si="0"/>
        <v>13567</v>
      </c>
      <c r="L34" s="38">
        <f t="shared" si="0"/>
        <v>24197</v>
      </c>
    </row>
    <row r="35" spans="3:21" x14ac:dyDescent="0.25">
      <c r="C35" s="38" t="s">
        <v>110</v>
      </c>
      <c r="D35" s="38"/>
      <c r="H35" s="40">
        <f>H34/H30</f>
        <v>0.83019272970136437</v>
      </c>
      <c r="I35" s="40">
        <f t="shared" ref="I35:J35" si="1">I34/I30</f>
        <v>0.74544427178980077</v>
      </c>
      <c r="J35" s="40">
        <f t="shared" si="1"/>
        <v>0.71487535083374609</v>
      </c>
      <c r="K35" s="40">
        <f>K34/K30</f>
        <v>0.67020698513066246</v>
      </c>
      <c r="L35" s="40">
        <f t="shared" ref="L35" si="2">L34/L30</f>
        <v>0.44509234051946139</v>
      </c>
    </row>
    <row r="36" spans="3:21" x14ac:dyDescent="0.25">
      <c r="C36" s="38" t="s">
        <v>111</v>
      </c>
      <c r="D36" s="38"/>
      <c r="H36">
        <f>'Data Sheet'!E23+'Data Sheet'!E24</f>
        <v>1886.4399999999998</v>
      </c>
      <c r="I36">
        <f>'Data Sheet'!F23+'Data Sheet'!F24</f>
        <v>1451.8</v>
      </c>
      <c r="J36">
        <f>'Data Sheet'!G23+'Data Sheet'!G24</f>
        <v>3698.2000000000003</v>
      </c>
      <c r="K36">
        <f>'Data Sheet'!H23+'Data Sheet'!H24</f>
        <v>5023</v>
      </c>
      <c r="L36">
        <f>'Data Sheet'!I23+'Data Sheet'!I24</f>
        <v>6958</v>
      </c>
    </row>
    <row r="37" spans="3:21" x14ac:dyDescent="0.25">
      <c r="C37" s="38" t="s">
        <v>108</v>
      </c>
      <c r="D37" s="38"/>
      <c r="H37" s="40">
        <f>H36/H30</f>
        <v>0.44996660623986262</v>
      </c>
      <c r="I37" s="40">
        <f t="shared" ref="I37:K37" si="3">I36/I30</f>
        <v>0.20508546404859443</v>
      </c>
      <c r="J37" s="40">
        <f t="shared" si="3"/>
        <v>0.30528314347036489</v>
      </c>
      <c r="K37" s="40">
        <f t="shared" si="3"/>
        <v>0.24813515783233711</v>
      </c>
      <c r="L37" s="40">
        <f>L36/L30</f>
        <v>0.12798911044073283</v>
      </c>
    </row>
    <row r="38" spans="3:21" x14ac:dyDescent="0.25">
      <c r="C38" s="38" t="s">
        <v>112</v>
      </c>
      <c r="D38" s="38"/>
      <c r="H38" s="38">
        <f>H34-H36</f>
        <v>1594.0599999999997</v>
      </c>
      <c r="I38" s="38">
        <f t="shared" ref="I38:K38" si="4">I34-I36</f>
        <v>3825.2</v>
      </c>
      <c r="J38" s="38">
        <f t="shared" si="4"/>
        <v>4961.7999999999993</v>
      </c>
      <c r="K38" s="38">
        <f t="shared" si="4"/>
        <v>8544</v>
      </c>
      <c r="L38" s="38">
        <f>L34-L36</f>
        <v>17239</v>
      </c>
      <c r="O38" s="40"/>
      <c r="P38" s="40"/>
      <c r="Q38" s="40"/>
      <c r="R38" s="40"/>
      <c r="S38" s="40"/>
      <c r="T38" s="40"/>
      <c r="U38" s="40"/>
    </row>
    <row r="39" spans="3:21" x14ac:dyDescent="0.25">
      <c r="C39" s="38" t="s">
        <v>113</v>
      </c>
      <c r="D39" s="38"/>
      <c r="H39" s="40">
        <f>H38/H30</f>
        <v>0.38022612346150175</v>
      </c>
      <c r="I39" s="40">
        <f t="shared" ref="I39:L39" si="5">I38/I30</f>
        <v>0.54035880774120637</v>
      </c>
      <c r="J39" s="40">
        <f t="shared" si="5"/>
        <v>0.40959220736338114</v>
      </c>
      <c r="K39" s="40">
        <f t="shared" si="5"/>
        <v>0.42207182729832532</v>
      </c>
      <c r="L39" s="40">
        <f t="shared" si="5"/>
        <v>0.31710323007872859</v>
      </c>
    </row>
    <row r="40" spans="3:21" x14ac:dyDescent="0.25">
      <c r="C40" s="38" t="s">
        <v>114</v>
      </c>
      <c r="D40" s="38"/>
      <c r="H40">
        <f>'Data Sheet'!G26</f>
        <v>150.30000000000001</v>
      </c>
      <c r="I40">
        <f>'Data Sheet'!H26</f>
        <v>437</v>
      </c>
      <c r="J40">
        <f>'Data Sheet'!I26</f>
        <v>526</v>
      </c>
      <c r="K40">
        <f>'Data Sheet'!J26</f>
        <v>863</v>
      </c>
      <c r="L40">
        <f>'Data Sheet'!K26</f>
        <v>1597</v>
      </c>
    </row>
    <row r="41" spans="3:21" x14ac:dyDescent="0.25">
      <c r="C41" s="38" t="s">
        <v>115</v>
      </c>
      <c r="D41" s="38"/>
      <c r="H41">
        <f>H38-H40</f>
        <v>1443.7599999999998</v>
      </c>
      <c r="I41">
        <f t="shared" ref="I41:J41" si="6">I38-I40</f>
        <v>3388.2</v>
      </c>
      <c r="J41">
        <f t="shared" si="6"/>
        <v>4435.7999999999993</v>
      </c>
      <c r="K41">
        <f>K38-K40</f>
        <v>7681</v>
      </c>
      <c r="L41">
        <f t="shared" ref="L41" si="7">L38-L40</f>
        <v>15642</v>
      </c>
    </row>
    <row r="42" spans="3:21" x14ac:dyDescent="0.25">
      <c r="C42" s="38" t="s">
        <v>116</v>
      </c>
      <c r="D42" s="38"/>
      <c r="H42">
        <f>'Data Sheet'!G27</f>
        <v>12</v>
      </c>
      <c r="I42">
        <f>'Data Sheet'!H27</f>
        <v>49</v>
      </c>
      <c r="J42">
        <f>'Data Sheet'!I27</f>
        <v>72</v>
      </c>
      <c r="K42">
        <f>'Data Sheet'!J27</f>
        <v>154</v>
      </c>
      <c r="L42">
        <f>'Data Sheet'!K27</f>
        <v>392</v>
      </c>
    </row>
    <row r="43" spans="3:21" x14ac:dyDescent="0.25">
      <c r="C43" s="38" t="s">
        <v>117</v>
      </c>
      <c r="D43" s="38"/>
      <c r="H43" s="38">
        <f>H41-H42</f>
        <v>1431.7599999999998</v>
      </c>
      <c r="I43" s="38">
        <f t="shared" ref="I43:K43" si="8">I41-I42</f>
        <v>3339.2</v>
      </c>
      <c r="J43" s="38">
        <f t="shared" si="8"/>
        <v>4363.7999999999993</v>
      </c>
      <c r="K43" s="38">
        <f t="shared" si="8"/>
        <v>7527</v>
      </c>
      <c r="L43" s="38">
        <f>L41-L42</f>
        <v>15250</v>
      </c>
    </row>
    <row r="44" spans="3:21" x14ac:dyDescent="0.25">
      <c r="C44" s="38" t="s">
        <v>118</v>
      </c>
      <c r="D44" s="38"/>
      <c r="H44">
        <f>'Data Sheet'!G29</f>
        <v>2</v>
      </c>
      <c r="I44">
        <f>'Data Sheet'!H29</f>
        <v>-44</v>
      </c>
      <c r="J44">
        <f>'Data Sheet'!I29</f>
        <v>-60</v>
      </c>
      <c r="K44">
        <f>'Data Sheet'!J29</f>
        <v>170</v>
      </c>
      <c r="L44">
        <f>'Data Sheet'!K29</f>
        <v>249</v>
      </c>
    </row>
    <row r="45" spans="3:21" x14ac:dyDescent="0.25">
      <c r="C45" s="38" t="s">
        <v>119</v>
      </c>
      <c r="D45" s="38"/>
      <c r="H45" s="38">
        <f>H43-H44</f>
        <v>1429.7599999999998</v>
      </c>
      <c r="I45" s="38">
        <f>I43+I44</f>
        <v>3295.2</v>
      </c>
      <c r="J45" s="38">
        <f>J43+J44</f>
        <v>4303.7999999999993</v>
      </c>
      <c r="K45" s="38">
        <f>K43-K44</f>
        <v>7357</v>
      </c>
      <c r="L45" s="38">
        <f>L43-L44</f>
        <v>15001</v>
      </c>
    </row>
    <row r="46" spans="3:21" x14ac:dyDescent="0.25">
      <c r="C46" s="38" t="s">
        <v>120</v>
      </c>
      <c r="D46" s="38"/>
      <c r="H46" s="40">
        <f>H45/H30</f>
        <v>0.34103616067169162</v>
      </c>
      <c r="I46" s="40">
        <f t="shared" ref="I46:K46" si="9">I45/I30</f>
        <v>0.46548947591467721</v>
      </c>
      <c r="J46" s="40">
        <f t="shared" si="9"/>
        <v>0.35527488855869238</v>
      </c>
      <c r="K46" s="40">
        <f t="shared" si="9"/>
        <v>0.36343427357605096</v>
      </c>
      <c r="L46" s="40">
        <f>L45/L30</f>
        <v>0.27593628136266646</v>
      </c>
    </row>
    <row r="47" spans="3:21" x14ac:dyDescent="0.25">
      <c r="C47" s="38"/>
      <c r="D47" s="38"/>
      <c r="H47" s="40"/>
    </row>
    <row r="49" spans="1:21" ht="28.8" x14ac:dyDescent="0.5">
      <c r="A49" s="36"/>
      <c r="B49" s="36"/>
      <c r="C49" s="41" t="s">
        <v>121</v>
      </c>
      <c r="D49" s="42"/>
      <c r="E49" s="42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</row>
    <row r="53" spans="1:21" ht="21" x14ac:dyDescent="0.4">
      <c r="C53" s="39"/>
      <c r="D53" s="39" t="s">
        <v>101</v>
      </c>
      <c r="E53" s="39"/>
      <c r="F53" s="39"/>
      <c r="G53" s="39"/>
      <c r="H53" s="39"/>
      <c r="I53" s="39" t="s">
        <v>134</v>
      </c>
      <c r="J53" s="39" t="s">
        <v>135</v>
      </c>
      <c r="K53" s="39" t="s">
        <v>136</v>
      </c>
      <c r="L53" s="39" t="s">
        <v>137</v>
      </c>
      <c r="M53" s="39" t="s">
        <v>138</v>
      </c>
      <c r="N53" s="39"/>
      <c r="O53" s="39"/>
      <c r="P53" s="39"/>
      <c r="Q53" s="39"/>
      <c r="R53" s="39"/>
    </row>
    <row r="55" spans="1:21" ht="21" x14ac:dyDescent="0.35">
      <c r="D55" s="43" t="s">
        <v>24</v>
      </c>
      <c r="E55" s="44"/>
      <c r="I55" s="67">
        <v>764.3</v>
      </c>
      <c r="J55" s="67">
        <v>836</v>
      </c>
      <c r="K55" s="67">
        <v>868</v>
      </c>
      <c r="L55" s="67">
        <v>907</v>
      </c>
      <c r="M55" s="67">
        <v>919</v>
      </c>
    </row>
    <row r="56" spans="1:21" ht="21" x14ac:dyDescent="0.35">
      <c r="D56" s="43" t="s">
        <v>25</v>
      </c>
      <c r="E56" s="44"/>
      <c r="I56" s="67">
        <v>15741.2</v>
      </c>
      <c r="J56" s="67">
        <v>18624</v>
      </c>
      <c r="K56" s="67">
        <v>19545</v>
      </c>
      <c r="L56" s="67">
        <v>29410</v>
      </c>
      <c r="M56" s="67">
        <v>30061</v>
      </c>
    </row>
    <row r="57" spans="1:21" ht="21" x14ac:dyDescent="0.35">
      <c r="D57" s="43" t="s">
        <v>71</v>
      </c>
      <c r="E57" s="44"/>
      <c r="I57" s="67">
        <v>70.3</v>
      </c>
      <c r="J57" s="67">
        <v>507</v>
      </c>
      <c r="K57" s="67">
        <v>749</v>
      </c>
      <c r="L57" s="67">
        <v>2045</v>
      </c>
      <c r="M57" s="67">
        <v>4592</v>
      </c>
    </row>
    <row r="58" spans="1:21" ht="21" x14ac:dyDescent="0.35">
      <c r="D58" s="43" t="s">
        <v>72</v>
      </c>
      <c r="E58" s="44"/>
      <c r="I58" s="67">
        <v>751.2</v>
      </c>
      <c r="J58" s="67">
        <v>1632</v>
      </c>
      <c r="K58" s="67">
        <v>2194</v>
      </c>
      <c r="L58" s="67">
        <v>3261</v>
      </c>
      <c r="M58" s="67">
        <v>5164</v>
      </c>
    </row>
    <row r="59" spans="1:21" ht="21" x14ac:dyDescent="0.35">
      <c r="D59" s="45" t="s">
        <v>26</v>
      </c>
      <c r="E59" s="44"/>
      <c r="I59" s="46">
        <v>17327</v>
      </c>
      <c r="J59" s="46">
        <v>21599</v>
      </c>
      <c r="K59" s="46">
        <v>23356</v>
      </c>
      <c r="L59" s="46">
        <v>35623</v>
      </c>
      <c r="M59" s="46">
        <v>40736</v>
      </c>
    </row>
    <row r="60" spans="1:21" ht="21" x14ac:dyDescent="0.35">
      <c r="D60" s="43" t="s">
        <v>27</v>
      </c>
      <c r="E60" s="44"/>
      <c r="I60" s="67">
        <v>1404.3</v>
      </c>
      <c r="J60" s="67">
        <v>6344</v>
      </c>
      <c r="K60" s="67">
        <v>6448</v>
      </c>
      <c r="L60" s="67">
        <v>9532</v>
      </c>
      <c r="M60" s="67">
        <v>12675</v>
      </c>
    </row>
    <row r="61" spans="1:21" ht="21" x14ac:dyDescent="0.35">
      <c r="D61" s="43" t="s">
        <v>28</v>
      </c>
      <c r="E61" s="44"/>
      <c r="I61" s="67">
        <v>0.6</v>
      </c>
      <c r="J61" s="67">
        <v>7</v>
      </c>
      <c r="K61" s="67">
        <v>18</v>
      </c>
      <c r="L61" s="67">
        <v>51</v>
      </c>
      <c r="M61" s="67">
        <v>136</v>
      </c>
    </row>
    <row r="62" spans="1:21" ht="21" x14ac:dyDescent="0.35">
      <c r="D62" s="43" t="s">
        <v>29</v>
      </c>
      <c r="E62" s="44"/>
      <c r="I62" s="67">
        <v>4717.7</v>
      </c>
      <c r="J62" s="67">
        <v>6765</v>
      </c>
      <c r="K62" s="67">
        <v>11645</v>
      </c>
      <c r="L62" s="67">
        <v>13192</v>
      </c>
      <c r="M62" s="67">
        <v>14833</v>
      </c>
    </row>
    <row r="63" spans="1:21" ht="21" x14ac:dyDescent="0.35">
      <c r="D63" s="43" t="s">
        <v>73</v>
      </c>
      <c r="E63" s="44"/>
      <c r="I63" s="67">
        <v>11204.4</v>
      </c>
      <c r="J63" s="67">
        <v>8483</v>
      </c>
      <c r="K63" s="67">
        <v>5245</v>
      </c>
      <c r="L63" s="67">
        <v>12848</v>
      </c>
      <c r="M63" s="67">
        <v>13092</v>
      </c>
    </row>
    <row r="64" spans="1:21" ht="21" x14ac:dyDescent="0.35">
      <c r="D64" s="45" t="s">
        <v>26</v>
      </c>
      <c r="E64" s="44"/>
      <c r="I64" s="46">
        <v>17327</v>
      </c>
      <c r="J64" s="46">
        <v>21599</v>
      </c>
      <c r="K64" s="46">
        <v>23356</v>
      </c>
      <c r="L64" s="46">
        <v>35623</v>
      </c>
      <c r="M64" s="46">
        <v>40736</v>
      </c>
    </row>
    <row r="65" spans="2:20" ht="21" x14ac:dyDescent="0.35">
      <c r="D65" s="43" t="s">
        <v>78</v>
      </c>
      <c r="E65" s="44"/>
      <c r="I65" s="67">
        <v>159.9</v>
      </c>
      <c r="J65" s="67">
        <v>457</v>
      </c>
      <c r="K65" s="67">
        <v>794</v>
      </c>
      <c r="L65" s="67">
        <v>1946</v>
      </c>
      <c r="M65" s="67">
        <v>1764</v>
      </c>
    </row>
    <row r="66" spans="2:20" ht="21" x14ac:dyDescent="0.35">
      <c r="D66" s="43" t="s">
        <v>45</v>
      </c>
      <c r="E66" s="44"/>
      <c r="I66" s="67">
        <v>39.700000000000003</v>
      </c>
      <c r="J66" s="67">
        <v>83</v>
      </c>
      <c r="K66" s="67">
        <v>88</v>
      </c>
      <c r="L66" s="67">
        <v>176</v>
      </c>
      <c r="M66" s="67">
        <v>2181</v>
      </c>
    </row>
    <row r="67" spans="2:20" ht="21" x14ac:dyDescent="0.35">
      <c r="D67" s="43" t="s">
        <v>87</v>
      </c>
      <c r="E67" s="44"/>
      <c r="I67" s="67">
        <v>1575.5</v>
      </c>
      <c r="J67" s="67">
        <v>1017</v>
      </c>
      <c r="K67" s="67">
        <v>731</v>
      </c>
      <c r="L67" s="67">
        <v>3614</v>
      </c>
      <c r="M67" s="67">
        <v>1523</v>
      </c>
    </row>
    <row r="71" spans="2:20" ht="27.6" x14ac:dyDescent="0.45">
      <c r="B71" s="36"/>
      <c r="C71" s="36"/>
      <c r="D71" s="47" t="s">
        <v>122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</row>
    <row r="72" spans="2:20" ht="19.2" thickBot="1" x14ac:dyDescent="0.35">
      <c r="H72" s="49"/>
      <c r="I72" s="49" t="s">
        <v>126</v>
      </c>
      <c r="J72" s="49" t="s">
        <v>127</v>
      </c>
      <c r="K72" s="49" t="s">
        <v>128</v>
      </c>
      <c r="L72" s="49" t="s">
        <v>129</v>
      </c>
      <c r="M72" s="49" t="s">
        <v>130</v>
      </c>
      <c r="N72" s="49"/>
    </row>
    <row r="73" spans="2:20" ht="24.6" thickTop="1" x14ac:dyDescent="0.45">
      <c r="C73" s="54"/>
      <c r="D73" s="55" t="s">
        <v>123</v>
      </c>
      <c r="E73" s="55"/>
      <c r="H73" s="50"/>
      <c r="I73" s="51">
        <f t="array" ref="I73:M73">CHOOSE(J77,I79:M79,I80:M80,I81:M81)</f>
        <v>0.2</v>
      </c>
      <c r="J73" s="51">
        <v>0.18</v>
      </c>
      <c r="K73" s="51">
        <v>0.16</v>
      </c>
      <c r="L73" s="51">
        <v>0.14000000000000001</v>
      </c>
      <c r="M73" s="51">
        <v>0.12</v>
      </c>
      <c r="N73" s="50"/>
    </row>
    <row r="74" spans="2:20" ht="24" x14ac:dyDescent="0.45">
      <c r="C74" s="54"/>
      <c r="D74" s="55"/>
      <c r="E74" s="55"/>
      <c r="H74" s="50"/>
      <c r="I74" s="50"/>
      <c r="J74" s="50"/>
      <c r="K74" s="50"/>
      <c r="L74" s="50"/>
      <c r="M74" s="50"/>
      <c r="N74" s="50"/>
    </row>
    <row r="75" spans="2:20" ht="24" x14ac:dyDescent="0.45">
      <c r="C75" s="54"/>
      <c r="D75" s="55" t="s">
        <v>124</v>
      </c>
      <c r="E75" s="55"/>
      <c r="H75" s="50"/>
      <c r="I75" s="50">
        <f t="shared" ref="I75" si="10">L30*(1+I73)</f>
        <v>65236.799999999996</v>
      </c>
      <c r="J75" s="50">
        <f t="shared" ref="J75:M75" si="11">I75*(1+J73)</f>
        <v>76979.423999999985</v>
      </c>
      <c r="K75" s="50">
        <f t="shared" si="11"/>
        <v>89296.131839999973</v>
      </c>
      <c r="L75" s="50">
        <f t="shared" si="11"/>
        <v>101797.59029759998</v>
      </c>
      <c r="M75" s="50">
        <f t="shared" si="11"/>
        <v>114013.30113331198</v>
      </c>
      <c r="N75" s="50"/>
    </row>
    <row r="76" spans="2:20" ht="24" x14ac:dyDescent="0.45">
      <c r="C76" s="54"/>
      <c r="D76" s="55"/>
      <c r="E76" s="55"/>
      <c r="H76" s="50"/>
      <c r="I76" s="50"/>
      <c r="J76" s="50"/>
      <c r="K76" s="50"/>
      <c r="L76" s="50"/>
      <c r="M76" s="50"/>
      <c r="N76" s="50"/>
    </row>
    <row r="77" spans="2:20" ht="24" x14ac:dyDescent="0.45">
      <c r="C77" s="54"/>
      <c r="D77" s="55" t="s">
        <v>125</v>
      </c>
      <c r="E77" s="55"/>
      <c r="H77" s="50"/>
      <c r="I77" s="56" t="s">
        <v>131</v>
      </c>
      <c r="J77" s="52">
        <f>MATCH(I77,D79:D81,0)</f>
        <v>1</v>
      </c>
      <c r="K77" s="50"/>
      <c r="L77" s="50"/>
      <c r="M77" s="50"/>
      <c r="N77" s="50"/>
    </row>
    <row r="78" spans="2:20" ht="24" x14ac:dyDescent="0.45">
      <c r="C78" s="54"/>
      <c r="D78" s="55"/>
      <c r="E78" s="55"/>
      <c r="H78" s="50"/>
      <c r="I78" s="50"/>
      <c r="J78" s="50"/>
      <c r="K78" s="50"/>
      <c r="L78" s="50"/>
      <c r="M78" s="50"/>
      <c r="N78" s="50"/>
    </row>
    <row r="79" spans="2:20" ht="24" x14ac:dyDescent="0.45">
      <c r="C79" s="54"/>
      <c r="D79" s="55" t="s">
        <v>131</v>
      </c>
      <c r="E79" s="55"/>
      <c r="H79" s="50"/>
      <c r="I79" s="53">
        <v>0.2</v>
      </c>
      <c r="J79" s="53">
        <v>0.18</v>
      </c>
      <c r="K79" s="53">
        <v>0.16</v>
      </c>
      <c r="L79" s="53">
        <v>0.14000000000000001</v>
      </c>
      <c r="M79" s="53">
        <v>0.12</v>
      </c>
      <c r="N79" s="50"/>
    </row>
    <row r="80" spans="2:20" ht="24" x14ac:dyDescent="0.45">
      <c r="C80" s="54"/>
      <c r="D80" s="55" t="s">
        <v>132</v>
      </c>
      <c r="E80" s="55"/>
      <c r="H80" s="50"/>
      <c r="I80" s="53">
        <v>0.25</v>
      </c>
      <c r="J80" s="53">
        <v>0.23</v>
      </c>
      <c r="K80" s="53">
        <v>0.21</v>
      </c>
      <c r="L80" s="53">
        <v>0.19</v>
      </c>
      <c r="M80" s="53">
        <v>0.17</v>
      </c>
      <c r="N80" s="50"/>
    </row>
    <row r="81" spans="1:22" ht="24" x14ac:dyDescent="0.45">
      <c r="C81" s="54"/>
      <c r="D81" s="55" t="s">
        <v>133</v>
      </c>
      <c r="E81" s="55"/>
      <c r="H81" s="50"/>
      <c r="I81" s="53">
        <v>0.15</v>
      </c>
      <c r="J81" s="53">
        <v>0.13</v>
      </c>
      <c r="K81" s="53">
        <v>0.11</v>
      </c>
      <c r="L81" s="53">
        <v>0.09</v>
      </c>
      <c r="M81" s="53">
        <v>7.0000000000000007E-2</v>
      </c>
      <c r="N81" s="50"/>
    </row>
    <row r="82" spans="1:22" x14ac:dyDescent="0.25">
      <c r="L82" s="48"/>
    </row>
    <row r="84" spans="1:22" ht="34.799999999999997" x14ac:dyDescent="0.55000000000000004">
      <c r="A84" s="36"/>
      <c r="B84" s="36"/>
      <c r="C84" s="42"/>
      <c r="D84" s="59" t="s">
        <v>139</v>
      </c>
      <c r="E84" s="60"/>
      <c r="F84" s="60"/>
      <c r="G84" s="42"/>
      <c r="H84" s="42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spans="1:22" ht="30" customHeight="1" thickBot="1" x14ac:dyDescent="0.65">
      <c r="D85" s="57"/>
      <c r="E85" s="57"/>
      <c r="F85" s="57"/>
      <c r="I85" s="49"/>
      <c r="J85" s="49" t="s">
        <v>126</v>
      </c>
      <c r="K85" s="49" t="s">
        <v>127</v>
      </c>
      <c r="L85" s="49" t="s">
        <v>128</v>
      </c>
      <c r="M85" s="49" t="s">
        <v>129</v>
      </c>
      <c r="N85" s="49" t="s">
        <v>130</v>
      </c>
      <c r="O85" s="49"/>
    </row>
    <row r="86" spans="1:22" ht="17.399999999999999" customHeight="1" thickTop="1" x14ac:dyDescent="0.5">
      <c r="D86" s="61" t="s">
        <v>140</v>
      </c>
      <c r="E86" s="58"/>
      <c r="F86" s="58"/>
      <c r="G86" s="38"/>
      <c r="H86" s="38"/>
      <c r="I86" s="38"/>
      <c r="J86" s="38">
        <f t="shared" ref="J86:N86" si="12">I75</f>
        <v>65236.799999999996</v>
      </c>
      <c r="K86" s="38">
        <f t="shared" si="12"/>
        <v>76979.423999999985</v>
      </c>
      <c r="L86" s="38">
        <f t="shared" si="12"/>
        <v>89296.131839999973</v>
      </c>
      <c r="M86" s="38">
        <f t="shared" si="12"/>
        <v>101797.59029759998</v>
      </c>
      <c r="N86" s="38">
        <f t="shared" si="12"/>
        <v>114013.30113331198</v>
      </c>
    </row>
    <row r="87" spans="1:22" x14ac:dyDescent="0.25">
      <c r="D87" t="s">
        <v>141</v>
      </c>
      <c r="G87" t="s">
        <v>172</v>
      </c>
      <c r="J87" s="48">
        <f t="shared" ref="J87" si="13">L39</f>
        <v>0.31710323007872859</v>
      </c>
      <c r="K87" s="48">
        <f t="shared" ref="K87:N87" si="14">J87</f>
        <v>0.31710323007872859</v>
      </c>
      <c r="L87" s="48">
        <f t="shared" si="14"/>
        <v>0.31710323007872859</v>
      </c>
      <c r="M87" s="48">
        <f t="shared" si="14"/>
        <v>0.31710323007872859</v>
      </c>
      <c r="N87" s="48">
        <f t="shared" si="14"/>
        <v>0.31710323007872859</v>
      </c>
      <c r="O87" s="48"/>
    </row>
    <row r="88" spans="1:22" x14ac:dyDescent="0.25">
      <c r="D88" s="38" t="s">
        <v>142</v>
      </c>
      <c r="E88" s="38"/>
      <c r="F88" s="38"/>
      <c r="G88" s="38"/>
      <c r="H88" s="38"/>
      <c r="I88" s="38"/>
      <c r="J88" s="38">
        <f t="shared" ref="J88:N88" si="15">J86*J87</f>
        <v>20686.8</v>
      </c>
      <c r="K88" s="38">
        <f t="shared" si="15"/>
        <v>24410.423999999995</v>
      </c>
      <c r="L88" s="38">
        <f t="shared" si="15"/>
        <v>28316.091839999994</v>
      </c>
      <c r="M88" s="38">
        <f t="shared" si="15"/>
        <v>32280.344697599994</v>
      </c>
      <c r="N88" s="38">
        <f t="shared" si="15"/>
        <v>36153.986061311996</v>
      </c>
    </row>
    <row r="89" spans="1:22" x14ac:dyDescent="0.25">
      <c r="D89" t="s">
        <v>143</v>
      </c>
      <c r="J89">
        <f t="shared" ref="J89:N89" si="16">J88*4%</f>
        <v>827.47199999999998</v>
      </c>
      <c r="K89">
        <f t="shared" si="16"/>
        <v>976.41695999999979</v>
      </c>
      <c r="L89">
        <f t="shared" si="16"/>
        <v>1132.6436735999998</v>
      </c>
      <c r="M89">
        <f t="shared" si="16"/>
        <v>1291.2137879039999</v>
      </c>
      <c r="N89">
        <f t="shared" si="16"/>
        <v>1446.1594424524799</v>
      </c>
    </row>
    <row r="90" spans="1:22" x14ac:dyDescent="0.25">
      <c r="D90" t="s">
        <v>115</v>
      </c>
      <c r="J90">
        <f t="shared" ref="J90:N90" si="17">J88-J89</f>
        <v>19859.327999999998</v>
      </c>
      <c r="K90">
        <f t="shared" si="17"/>
        <v>23434.007039999997</v>
      </c>
      <c r="L90">
        <f t="shared" si="17"/>
        <v>27183.448166399994</v>
      </c>
      <c r="M90">
        <f t="shared" si="17"/>
        <v>30989.130909695996</v>
      </c>
      <c r="N90">
        <f t="shared" si="17"/>
        <v>34707.826618859515</v>
      </c>
    </row>
    <row r="91" spans="1:22" x14ac:dyDescent="0.25">
      <c r="D91" t="s">
        <v>144</v>
      </c>
      <c r="J91">
        <f>J90*25%</f>
        <v>4964.8319999999994</v>
      </c>
      <c r="K91">
        <f t="shared" ref="K91:N91" si="18">K90*25%</f>
        <v>5858.5017599999992</v>
      </c>
      <c r="L91">
        <f t="shared" si="18"/>
        <v>6795.8620415999985</v>
      </c>
      <c r="M91">
        <f t="shared" si="18"/>
        <v>7747.2827274239989</v>
      </c>
      <c r="N91">
        <f t="shared" si="18"/>
        <v>8676.9566547148788</v>
      </c>
    </row>
    <row r="92" spans="1:22" x14ac:dyDescent="0.25">
      <c r="D92" s="38" t="s">
        <v>145</v>
      </c>
      <c r="E92" s="38"/>
      <c r="F92" s="38"/>
      <c r="G92" s="38"/>
      <c r="H92" s="38"/>
      <c r="I92" s="38"/>
      <c r="J92" s="38">
        <f t="shared" ref="J92:N92" si="19">J90-J91</f>
        <v>14894.495999999999</v>
      </c>
      <c r="K92" s="38">
        <f t="shared" si="19"/>
        <v>17575.505279999998</v>
      </c>
      <c r="L92" s="38">
        <f t="shared" si="19"/>
        <v>20387.586124799996</v>
      </c>
      <c r="M92" s="38">
        <f t="shared" si="19"/>
        <v>23241.848182271999</v>
      </c>
      <c r="N92" s="38">
        <f t="shared" si="19"/>
        <v>26030.869964144636</v>
      </c>
    </row>
    <row r="93" spans="1:22" x14ac:dyDescent="0.25">
      <c r="D93" t="s">
        <v>146</v>
      </c>
      <c r="J93">
        <f t="shared" ref="J93:N93" si="20">J89</f>
        <v>827.47199999999998</v>
      </c>
      <c r="K93">
        <f t="shared" si="20"/>
        <v>976.41695999999979</v>
      </c>
      <c r="L93">
        <f t="shared" si="20"/>
        <v>1132.6436735999998</v>
      </c>
      <c r="M93">
        <f t="shared" si="20"/>
        <v>1291.2137879039999</v>
      </c>
      <c r="N93">
        <f t="shared" si="20"/>
        <v>1446.1594424524799</v>
      </c>
    </row>
    <row r="94" spans="1:22" x14ac:dyDescent="0.25">
      <c r="D94" t="s">
        <v>147</v>
      </c>
      <c r="J94">
        <f t="shared" ref="J94:N94" si="21">-J92*50%</f>
        <v>-7447.2479999999996</v>
      </c>
      <c r="K94">
        <f t="shared" si="21"/>
        <v>-8787.7526399999988</v>
      </c>
      <c r="L94">
        <f t="shared" si="21"/>
        <v>-10193.793062399998</v>
      </c>
      <c r="M94">
        <f t="shared" si="21"/>
        <v>-11620.924091135999</v>
      </c>
      <c r="N94">
        <f t="shared" si="21"/>
        <v>-13015.434982072318</v>
      </c>
    </row>
    <row r="95" spans="1:22" x14ac:dyDescent="0.25">
      <c r="D95" s="38" t="s">
        <v>161</v>
      </c>
      <c r="E95" s="38"/>
      <c r="F95" s="38"/>
      <c r="G95" s="38"/>
      <c r="H95" s="38"/>
      <c r="I95" s="38"/>
      <c r="J95" s="38">
        <f t="shared" ref="J95:N95" si="22">J92+J93+J94</f>
        <v>8274.7199999999993</v>
      </c>
      <c r="K95" s="38">
        <f t="shared" si="22"/>
        <v>9764.1695999999974</v>
      </c>
      <c r="L95" s="38">
        <f t="shared" si="22"/>
        <v>11326.436735999998</v>
      </c>
      <c r="M95" s="38">
        <f t="shared" si="22"/>
        <v>12912.137879039998</v>
      </c>
      <c r="N95" s="38">
        <f t="shared" si="22"/>
        <v>14461.594424524799</v>
      </c>
    </row>
    <row r="101" spans="1:22" ht="60" x14ac:dyDescent="0.95">
      <c r="A101" s="36"/>
      <c r="B101" s="36"/>
      <c r="C101" s="36"/>
      <c r="D101" s="62" t="s">
        <v>148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5" spans="1:22" x14ac:dyDescent="0.25">
      <c r="D105" s="63" t="s">
        <v>149</v>
      </c>
      <c r="E105" s="63"/>
      <c r="F105" s="36"/>
      <c r="G105" s="36"/>
      <c r="H105" s="36"/>
    </row>
    <row r="107" spans="1:22" x14ac:dyDescent="0.25">
      <c r="D107" t="s">
        <v>186</v>
      </c>
      <c r="F107" s="48">
        <v>7.0000000000000007E-2</v>
      </c>
    </row>
    <row r="108" spans="1:22" x14ac:dyDescent="0.25">
      <c r="D108" t="s">
        <v>151</v>
      </c>
      <c r="E108" s="48">
        <v>0.25</v>
      </c>
    </row>
    <row r="109" spans="1:22" x14ac:dyDescent="0.25">
      <c r="D109" t="s">
        <v>150</v>
      </c>
      <c r="F109" s="40">
        <f>F107*(1-E108)</f>
        <v>5.2500000000000005E-2</v>
      </c>
    </row>
    <row r="111" spans="1:22" x14ac:dyDescent="0.25">
      <c r="D111" s="63" t="s">
        <v>152</v>
      </c>
      <c r="E111" s="63"/>
      <c r="F111" s="63"/>
      <c r="G111" s="63"/>
      <c r="H111" s="63"/>
    </row>
    <row r="113" spans="1:20" x14ac:dyDescent="0.25">
      <c r="D113" t="s">
        <v>154</v>
      </c>
    </row>
    <row r="114" spans="1:20" x14ac:dyDescent="0.25">
      <c r="D114" t="s">
        <v>155</v>
      </c>
    </row>
    <row r="115" spans="1:20" x14ac:dyDescent="0.25">
      <c r="D115" t="s">
        <v>156</v>
      </c>
    </row>
    <row r="116" spans="1:20" x14ac:dyDescent="0.25">
      <c r="D116" t="s">
        <v>153</v>
      </c>
      <c r="E116" s="64">
        <v>0.1225</v>
      </c>
    </row>
    <row r="119" spans="1:20" x14ac:dyDescent="0.25">
      <c r="D119" s="63" t="s">
        <v>157</v>
      </c>
      <c r="E119" s="65">
        <f t="array" ref="E119">SUM(F109+E116)</f>
        <v>0.17499999999999999</v>
      </c>
      <c r="F119" s="63"/>
      <c r="G119" s="63"/>
      <c r="H119" s="63"/>
    </row>
    <row r="121" spans="1:20" ht="36.6" x14ac:dyDescent="0.6"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</row>
    <row r="122" spans="1:20" ht="19.2" thickBot="1" x14ac:dyDescent="0.35">
      <c r="A122" s="66"/>
      <c r="B122" s="66"/>
      <c r="C122" s="66"/>
      <c r="D122" s="66" t="s">
        <v>158</v>
      </c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</row>
    <row r="123" spans="1:20" ht="14.4" thickTop="1" x14ac:dyDescent="0.25"/>
    <row r="125" spans="1:20" x14ac:dyDescent="0.25">
      <c r="D125" t="s">
        <v>160</v>
      </c>
      <c r="F125">
        <f>N95</f>
        <v>14461.594424524799</v>
      </c>
    </row>
    <row r="127" spans="1:20" x14ac:dyDescent="0.25">
      <c r="D127" t="s">
        <v>162</v>
      </c>
      <c r="F127" s="48">
        <v>0.06</v>
      </c>
    </row>
    <row r="129" spans="1:21" x14ac:dyDescent="0.25">
      <c r="D129" t="s">
        <v>163</v>
      </c>
      <c r="F129" s="38">
        <f>F125*(1+F127)/12%</f>
        <v>127744.0840833024</v>
      </c>
    </row>
    <row r="133" spans="1:21" ht="27.6" x14ac:dyDescent="0.45">
      <c r="C133" s="68"/>
      <c r="D133" s="68" t="s">
        <v>165</v>
      </c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</row>
    <row r="134" spans="1:21" ht="24" thickBot="1" x14ac:dyDescent="0.45">
      <c r="D134" s="69" t="s">
        <v>166</v>
      </c>
      <c r="G134" s="49"/>
      <c r="H134" s="49" t="s">
        <v>126</v>
      </c>
      <c r="I134" s="49" t="s">
        <v>127</v>
      </c>
      <c r="J134" s="49" t="s">
        <v>128</v>
      </c>
      <c r="K134" s="49" t="s">
        <v>129</v>
      </c>
      <c r="L134" s="49" t="s">
        <v>130</v>
      </c>
      <c r="M134" s="49" t="s">
        <v>171</v>
      </c>
    </row>
    <row r="135" spans="1:21" ht="14.4" thickTop="1" x14ac:dyDescent="0.25"/>
    <row r="136" spans="1:21" x14ac:dyDescent="0.25">
      <c r="F136" t="s">
        <v>168</v>
      </c>
    </row>
    <row r="137" spans="1:21" x14ac:dyDescent="0.25">
      <c r="D137" t="s">
        <v>167</v>
      </c>
      <c r="H137">
        <v>8274.7199999999993</v>
      </c>
      <c r="I137">
        <v>9764.1695999999993</v>
      </c>
      <c r="J137">
        <v>11326.436735999998</v>
      </c>
      <c r="K137">
        <v>12912.137879039998</v>
      </c>
      <c r="L137">
        <v>14461.594424524799</v>
      </c>
      <c r="M137">
        <f>F129</f>
        <v>127744.0840833024</v>
      </c>
    </row>
    <row r="138" spans="1:21" x14ac:dyDescent="0.25">
      <c r="D138" t="s">
        <v>170</v>
      </c>
      <c r="H138" s="40">
        <f>1/(1+E119)^1</f>
        <v>0.85106382978723405</v>
      </c>
      <c r="I138" s="40">
        <f>1/(1+E119)^2</f>
        <v>0.72430964237211393</v>
      </c>
      <c r="J138" s="40">
        <f>1/(1+E119)^3</f>
        <v>0.61643373818903313</v>
      </c>
      <c r="K138" s="40">
        <f>1/(1+E119)^4</f>
        <v>0.52462445803321966</v>
      </c>
      <c r="L138" s="40">
        <f>1/(1+E119)^5</f>
        <v>0.44648890045380391</v>
      </c>
      <c r="M138" s="48">
        <v>0.45</v>
      </c>
    </row>
    <row r="139" spans="1:21" x14ac:dyDescent="0.25">
      <c r="D139" s="38" t="s">
        <v>169</v>
      </c>
      <c r="E139" s="38"/>
      <c r="F139" s="38"/>
      <c r="G139" s="38"/>
      <c r="H139" s="38">
        <f t="shared" ref="H139:L139" si="23">H137*H138</f>
        <v>7042.314893617021</v>
      </c>
      <c r="I139" s="70">
        <f>I137*I138</f>
        <v>7072.2821910366665</v>
      </c>
      <c r="J139" s="38">
        <f t="shared" si="23"/>
        <v>6981.9977375340695</v>
      </c>
      <c r="K139" s="38">
        <f t="shared" si="23"/>
        <v>6774.0233368415657</v>
      </c>
      <c r="L139" s="38">
        <f t="shared" si="23"/>
        <v>6456.9413934149388</v>
      </c>
      <c r="M139" s="38">
        <f>M137*M138</f>
        <v>57484.837837486077</v>
      </c>
    </row>
    <row r="143" spans="1:21" ht="27.6" x14ac:dyDescent="0.45">
      <c r="A143" s="71"/>
      <c r="B143" s="74"/>
      <c r="C143" s="74"/>
      <c r="D143" s="74" t="s">
        <v>173</v>
      </c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3"/>
      <c r="U143" s="72"/>
    </row>
    <row r="146" spans="3:5" x14ac:dyDescent="0.25">
      <c r="C146" t="s">
        <v>174</v>
      </c>
      <c r="E146">
        <f>SUM(H139:L139)</f>
        <v>34327.559552444261</v>
      </c>
    </row>
    <row r="149" spans="3:5" x14ac:dyDescent="0.25">
      <c r="C149" t="s">
        <v>175</v>
      </c>
      <c r="E149">
        <f>M139</f>
        <v>57484.837837486077</v>
      </c>
    </row>
    <row r="153" spans="3:5" x14ac:dyDescent="0.25">
      <c r="C153" s="38" t="s">
        <v>176</v>
      </c>
      <c r="D153" s="38"/>
      <c r="E153" s="38">
        <f>E146+E149</f>
        <v>91812.397389930338</v>
      </c>
    </row>
    <row r="158" spans="3:5" x14ac:dyDescent="0.25">
      <c r="C158" t="s">
        <v>177</v>
      </c>
      <c r="E158">
        <f>E153</f>
        <v>91812.397389930338</v>
      </c>
    </row>
    <row r="159" spans="3:5" x14ac:dyDescent="0.25">
      <c r="C159" t="s">
        <v>178</v>
      </c>
      <c r="E159">
        <f>786</f>
        <v>786</v>
      </c>
    </row>
    <row r="160" spans="3:5" x14ac:dyDescent="0.25">
      <c r="C160" t="s">
        <v>179</v>
      </c>
      <c r="E160">
        <v>345.67</v>
      </c>
    </row>
    <row r="161" spans="3:10" x14ac:dyDescent="0.25">
      <c r="C161" s="38" t="s">
        <v>180</v>
      </c>
      <c r="D161" s="38"/>
      <c r="E161" s="38">
        <f>E158-E160+E159</f>
        <v>92252.72738993034</v>
      </c>
    </row>
    <row r="162" spans="3:10" x14ac:dyDescent="0.25">
      <c r="C162" t="s">
        <v>181</v>
      </c>
      <c r="D162" t="s">
        <v>182</v>
      </c>
      <c r="E162">
        <v>965</v>
      </c>
    </row>
    <row r="163" spans="3:10" x14ac:dyDescent="0.25">
      <c r="C163" t="s">
        <v>183</v>
      </c>
      <c r="E163">
        <f>E161/E162</f>
        <v>95.598681233088442</v>
      </c>
    </row>
    <row r="164" spans="3:10" x14ac:dyDescent="0.25">
      <c r="C164" t="s">
        <v>184</v>
      </c>
      <c r="E164">
        <v>292</v>
      </c>
    </row>
    <row r="165" spans="3:10" x14ac:dyDescent="0.25">
      <c r="C165" s="38" t="s">
        <v>185</v>
      </c>
      <c r="D165" s="38"/>
      <c r="E165" s="70">
        <f>E163/E164-1</f>
        <v>-0.67260725605106697</v>
      </c>
    </row>
    <row r="172" spans="3:10" x14ac:dyDescent="0.25">
      <c r="C172" s="38"/>
      <c r="D172" s="38"/>
    </row>
    <row r="173" spans="3:10" x14ac:dyDescent="0.25">
      <c r="C173" s="75"/>
      <c r="D173" s="64"/>
      <c r="E173" s="64"/>
      <c r="F173" s="64"/>
      <c r="G173" s="64"/>
      <c r="H173" s="64"/>
      <c r="I173" s="64"/>
      <c r="J173" s="64"/>
    </row>
    <row r="174" spans="3:10" ht="39" customHeight="1" x14ac:dyDescent="0.25">
      <c r="C174" s="64"/>
    </row>
    <row r="175" spans="3:10" x14ac:dyDescent="0.25">
      <c r="C175" s="64"/>
    </row>
    <row r="176" spans="3:10" x14ac:dyDescent="0.25">
      <c r="C176" s="48"/>
    </row>
    <row r="177" spans="3:13" x14ac:dyDescent="0.25">
      <c r="C177" s="64"/>
    </row>
    <row r="178" spans="3:13" x14ac:dyDescent="0.25">
      <c r="C178" s="64"/>
    </row>
    <row r="179" spans="3:13" x14ac:dyDescent="0.25">
      <c r="C179" s="64"/>
    </row>
    <row r="187" spans="3:13" x14ac:dyDescent="0.25">
      <c r="I187" s="48"/>
      <c r="J187" s="64"/>
      <c r="K187" s="48"/>
      <c r="L187" s="48"/>
      <c r="M187" s="38"/>
    </row>
    <row r="188" spans="3:13" x14ac:dyDescent="0.25">
      <c r="H188" s="48"/>
      <c r="M188" s="38"/>
    </row>
    <row r="189" spans="3:13" x14ac:dyDescent="0.25">
      <c r="H189" s="48"/>
      <c r="M189" s="38"/>
    </row>
    <row r="190" spans="3:13" x14ac:dyDescent="0.25">
      <c r="H190" s="48"/>
      <c r="M190" s="38"/>
    </row>
    <row r="191" spans="3:13" x14ac:dyDescent="0.25">
      <c r="H191" s="48"/>
      <c r="M191" s="38"/>
    </row>
  </sheetData>
  <dataValidations count="1">
    <dataValidation type="list" allowBlank="1" showInputMessage="1" showErrorMessage="1" sqref="I77">
      <formula1>$D$79:$D$81</formula1>
    </dataValidation>
  </dataValidations>
  <pageMargins left="0.7" right="0.7" top="0.75" bottom="0.75" header="0.3" footer="0.3"/>
  <pageSetup orientation="portrait" r:id="rId1"/>
  <ignoredErrors>
    <ignoredError sqref="H44 K44:L44 J91:N9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Profit &amp; Loss</vt:lpstr>
      <vt:lpstr>Quarters</vt:lpstr>
      <vt:lpstr>Balance Sheet</vt:lpstr>
      <vt:lpstr>Cash Flow</vt:lpstr>
      <vt:lpstr>Customization</vt:lpstr>
      <vt:lpstr>Data Sheet</vt:lpstr>
      <vt:lpstr>Sheet2</vt:lpstr>
      <vt:lpstr>Sheet1</vt:lpstr>
      <vt:lpstr>UPDATE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user</cp:lastModifiedBy>
  <cp:lastPrinted>2012-12-06T18:14:13Z</cp:lastPrinted>
  <dcterms:created xsi:type="dcterms:W3CDTF">2012-08-17T09:55:37Z</dcterms:created>
  <dcterms:modified xsi:type="dcterms:W3CDTF">2026-07-14T03:35:39Z</dcterms:modified>
</cp:coreProperties>
</file>