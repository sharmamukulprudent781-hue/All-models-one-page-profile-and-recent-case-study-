
<file path=[Content_Types].xml><?xml version="1.0" encoding="utf-8"?>
<Types xmlns="http://schemas.openxmlformats.org/package/2006/content-types"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3040" windowHeight="9384"/>
  </bookViews>
  <sheets>
    <sheet name="Sheet1" sheetId="1" r:id="rId1"/>
  </sheets>
  <externalReferences>
    <externalReference r:id="rId2"/>
  </externalReferenc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3" i="1" l="1"/>
  <c r="G23" i="1"/>
  <c r="H23" i="1"/>
  <c r="E24" i="1"/>
  <c r="F24" i="1"/>
  <c r="G24" i="1"/>
  <c r="H24" i="1"/>
  <c r="E27" i="1"/>
  <c r="F27" i="1"/>
  <c r="G27" i="1"/>
  <c r="H27" i="1"/>
  <c r="E28" i="1"/>
  <c r="F28" i="1"/>
  <c r="G28" i="1"/>
  <c r="H28" i="1"/>
</calcChain>
</file>

<file path=xl/sharedStrings.xml><?xml version="1.0" encoding="utf-8"?>
<sst xmlns="http://schemas.openxmlformats.org/spreadsheetml/2006/main" count="60" uniqueCount="51">
  <si>
    <t xml:space="preserve">EQUITY RESEARCH REPORT </t>
  </si>
  <si>
    <t>ETERNAL LIMITED</t>
  </si>
  <si>
    <t>COMPANY  SNAPSHOT</t>
  </si>
  <si>
    <t>(Units -in Crs)</t>
  </si>
  <si>
    <t xml:space="preserve">         MKT CAPS</t>
  </si>
  <si>
    <r>
      <t xml:space="preserve">           </t>
    </r>
    <r>
      <rPr>
        <b/>
        <sz val="14"/>
        <color rgb="FF00B0F0"/>
        <rFont val="Calibri"/>
        <family val="2"/>
      </rPr>
      <t>₹</t>
    </r>
    <r>
      <rPr>
        <b/>
        <sz val="14"/>
        <color rgb="FF00B0F0"/>
        <rFont val="Calibri"/>
        <family val="2"/>
        <scheme val="minor"/>
      </rPr>
      <t>276579</t>
    </r>
  </si>
  <si>
    <t>PARTICULARS</t>
  </si>
  <si>
    <t xml:space="preserve">         HIGH/LOW</t>
  </si>
  <si>
    <t>→</t>
  </si>
  <si>
    <t xml:space="preserve">        368 / 213</t>
  </si>
  <si>
    <t xml:space="preserve">         DIV YEILDS</t>
  </si>
  <si>
    <t>REVENUE(Y-O-Y)%</t>
  </si>
  <si>
    <t xml:space="preserve">         P/E</t>
  </si>
  <si>
    <t xml:space="preserve">                     756x</t>
  </si>
  <si>
    <t>EBITDA%</t>
  </si>
  <si>
    <t xml:space="preserve">         ROCE</t>
  </si>
  <si>
    <t>EBIT%</t>
  </si>
  <si>
    <t xml:space="preserve">         ROE</t>
  </si>
  <si>
    <t xml:space="preserve"> </t>
  </si>
  <si>
    <t>PBT%</t>
  </si>
  <si>
    <t>NET PROFIT %</t>
  </si>
  <si>
    <t>SHAREHOLDING PATTERN</t>
  </si>
  <si>
    <t xml:space="preserve">KEY POINT ABOUT THE COMPANY </t>
  </si>
  <si>
    <t>FINANCIAL RATIOS</t>
  </si>
  <si>
    <t>ROE</t>
  </si>
  <si>
    <t>ROCE</t>
  </si>
  <si>
    <t>NPM</t>
  </si>
  <si>
    <t>GPM</t>
  </si>
  <si>
    <t>EBITDAM</t>
  </si>
  <si>
    <t>EBITM</t>
  </si>
  <si>
    <t>PATM</t>
  </si>
  <si>
    <t>QUATERLY PERFORMANCE</t>
  </si>
  <si>
    <t>INDUSTRY OVERVIEW</t>
  </si>
  <si>
    <t>COMPANY  CON'S  ANALYSIS</t>
  </si>
  <si>
    <t>DASHBORAD SHOWS SALES AND PROFIT GRAPHS</t>
  </si>
  <si>
    <t xml:space="preserve">VALUATION ANALYSIS </t>
  </si>
  <si>
    <t xml:space="preserve">SUM of present value of FCFF (FY27 -31)      </t>
  </si>
  <si>
    <t>Terminal value =</t>
  </si>
  <si>
    <t xml:space="preserve">ENTERPRISE VALUE </t>
  </si>
  <si>
    <t>Enterprise value -</t>
  </si>
  <si>
    <t xml:space="preserve">Add:Debt </t>
  </si>
  <si>
    <t xml:space="preserve">Less:Cash and Cash &amp; investment </t>
  </si>
  <si>
    <t>EQUITY VALUE</t>
  </si>
  <si>
    <t xml:space="preserve">Share outstanding </t>
  </si>
  <si>
    <t>(cr)</t>
  </si>
  <si>
    <t>fair value</t>
  </si>
  <si>
    <t>CMP</t>
  </si>
  <si>
    <t>Downside</t>
  </si>
  <si>
    <t>AS per my knowledge ,currently the stock price is overvalued and and may be correct around 60-70%</t>
  </si>
  <si>
    <t>so as per my recommendation we have to hold the stock if we have potential to hold otherwise sell.</t>
  </si>
  <si>
    <t>Management  voice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</si>
</sst>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4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u/>
      <sz val="28"/>
      <color theme="0"/>
      <name val="Calibri"/>
      <family val="2"/>
      <scheme val="minor"/>
    </font>
    <font>
      <b/>
      <sz val="28"/>
      <color theme="0"/>
      <name val="Calibri"/>
      <family val="2"/>
      <scheme val="minor"/>
    </font>
    <font>
      <b/>
      <sz val="14"/>
      <color theme="1"/>
      <name val="Arial"/>
      <family val="2"/>
    </font>
    <font>
      <b/>
      <sz val="14"/>
      <color theme="4" tint="-0.249977111117893"/>
      <name val="Arial"/>
      <family val="2"/>
    </font>
    <font>
      <sz val="11"/>
      <color theme="4" tint="-0.249977111117893"/>
      <name val="Calibri"/>
      <family val="2"/>
      <scheme val="minor"/>
    </font>
    <font>
      <sz val="26"/>
      <color theme="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8"/>
      <color theme="8" tint="-0.499984740745262"/>
      <name val="Calibri"/>
      <family val="2"/>
      <scheme val="minor"/>
    </font>
    <font>
      <sz val="11"/>
      <color theme="1"/>
      <name val="Calibri"/>
      <family val="2"/>
    </font>
    <font>
      <b/>
      <sz val="16"/>
      <color theme="4"/>
      <name val="Calibri"/>
      <family val="2"/>
      <scheme val="minor"/>
    </font>
    <font>
      <b/>
      <sz val="14"/>
      <color rgb="FF00B0F0"/>
      <name val="Calibri"/>
      <family val="2"/>
      <scheme val="minor"/>
    </font>
    <font>
      <b/>
      <sz val="14"/>
      <color rgb="FF00B0F0"/>
      <name val="Calibri"/>
      <family val="2"/>
    </font>
    <font>
      <b/>
      <i/>
      <sz val="11"/>
      <color theme="0"/>
      <name val="Calibri"/>
      <family val="2"/>
      <scheme val="minor"/>
    </font>
    <font>
      <sz val="11"/>
      <color theme="8" tint="-0.499984740745262"/>
      <name val="Calibri"/>
      <family val="2"/>
      <scheme val="minor"/>
    </font>
    <font>
      <b/>
      <sz val="16"/>
      <color theme="4"/>
      <name val="Arial"/>
      <family val="2"/>
    </font>
    <font>
      <b/>
      <sz val="14"/>
      <color rgb="FF00B0F0"/>
      <name val="Arial"/>
      <family val="2"/>
    </font>
    <font>
      <sz val="12"/>
      <color rgb="FFC00000"/>
      <name val="Calibri"/>
      <family val="2"/>
      <scheme val="minor"/>
    </font>
    <font>
      <b/>
      <i/>
      <sz val="12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606F7B"/>
      <name val="Arial"/>
      <family val="2"/>
    </font>
    <font>
      <sz val="11"/>
      <color rgb="FF22222F"/>
      <name val="Arial"/>
      <family val="2"/>
    </font>
    <font>
      <sz val="11"/>
      <color rgb="FF002060"/>
      <name val="Calibri"/>
      <family val="2"/>
      <scheme val="minor"/>
    </font>
    <font>
      <sz val="20"/>
      <color rgb="FF002060"/>
      <name val="Calibri"/>
      <family val="2"/>
      <scheme val="minor"/>
    </font>
    <font>
      <sz val="28"/>
      <color theme="0"/>
      <name val="Calibri"/>
      <family val="2"/>
      <scheme val="minor"/>
    </font>
    <font>
      <sz val="16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rgb="FF00206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22"/>
      <color theme="0"/>
      <name val="Calibri"/>
      <family val="2"/>
      <scheme val="minor"/>
    </font>
    <font>
      <sz val="36"/>
      <color theme="0"/>
      <name val="Calibri"/>
      <family val="2"/>
      <scheme val="minor"/>
    </font>
    <font>
      <sz val="10"/>
      <color rgb="FF606F7B"/>
      <name val="Arial"/>
      <family val="2"/>
    </font>
    <font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20"/>
      <color rgb="FFC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8FC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rgb="FFDBE4F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6">
    <xf numFmtId="0" fontId="0" fillId="0" borderId="0" xfId="0"/>
    <xf numFmtId="0" fontId="0" fillId="0" borderId="0" xfId="0" applyBorder="1"/>
    <xf numFmtId="0" fontId="5" fillId="0" borderId="0" xfId="0" applyFont="1" applyBorder="1"/>
    <xf numFmtId="0" fontId="6" fillId="0" borderId="0" xfId="0" applyFont="1" applyBorder="1"/>
    <xf numFmtId="0" fontId="6" fillId="0" borderId="0" xfId="0" applyFont="1"/>
    <xf numFmtId="0" fontId="7" fillId="2" borderId="1" xfId="0" applyFont="1" applyFill="1" applyBorder="1"/>
    <xf numFmtId="0" fontId="8" fillId="2" borderId="1" xfId="0" applyFont="1" applyFill="1" applyBorder="1" applyAlignment="1">
      <alignment horizontal="left" vertical="center"/>
    </xf>
    <xf numFmtId="0" fontId="8" fillId="2" borderId="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left" vertical="center"/>
    </xf>
    <xf numFmtId="0" fontId="2" fillId="2" borderId="0" xfId="0" applyFont="1" applyFill="1" applyBorder="1"/>
    <xf numFmtId="0" fontId="4" fillId="2" borderId="0" xfId="0" applyFont="1" applyFill="1" applyBorder="1"/>
    <xf numFmtId="0" fontId="4" fillId="2" borderId="1" xfId="0" applyFont="1" applyFill="1" applyBorder="1"/>
    <xf numFmtId="0" fontId="0" fillId="0" borderId="0" xfId="0" applyAlignment="1"/>
    <xf numFmtId="0" fontId="0" fillId="0" borderId="0" xfId="0" applyFont="1"/>
    <xf numFmtId="0" fontId="9" fillId="0" borderId="0" xfId="0" applyFont="1" applyAlignment="1">
      <alignment vertical="center" wrapText="1"/>
    </xf>
    <xf numFmtId="0" fontId="10" fillId="2" borderId="0" xfId="0" applyFont="1" applyFill="1" applyAlignment="1">
      <alignment vertical="center" wrapText="1"/>
    </xf>
    <xf numFmtId="0" fontId="11" fillId="2" borderId="0" xfId="0" applyFont="1" applyFill="1"/>
    <xf numFmtId="0" fontId="4" fillId="2" borderId="0" xfId="0" applyFont="1" applyFill="1"/>
    <xf numFmtId="0" fontId="12" fillId="2" borderId="0" xfId="0" applyFont="1" applyFill="1"/>
    <xf numFmtId="0" fontId="13" fillId="0" borderId="0" xfId="0" applyFont="1"/>
    <xf numFmtId="0" fontId="14" fillId="3" borderId="0" xfId="0" applyFont="1" applyFill="1" applyAlignment="1"/>
    <xf numFmtId="0" fontId="15" fillId="3" borderId="0" xfId="0" applyFont="1" applyFill="1"/>
    <xf numFmtId="0" fontId="16" fillId="0" borderId="0" xfId="0" applyFont="1"/>
    <xf numFmtId="0" fontId="17" fillId="0" borderId="0" xfId="0" applyFont="1"/>
    <xf numFmtId="0" fontId="3" fillId="0" borderId="0" xfId="0" applyFont="1"/>
    <xf numFmtId="0" fontId="2" fillId="2" borderId="0" xfId="0" applyFont="1" applyFill="1"/>
    <xf numFmtId="0" fontId="19" fillId="2" borderId="0" xfId="0" applyFont="1" applyFill="1"/>
    <xf numFmtId="16" fontId="19" fillId="2" borderId="0" xfId="0" applyNumberFormat="1" applyFont="1" applyFill="1"/>
    <xf numFmtId="16" fontId="0" fillId="0" borderId="0" xfId="0" applyNumberFormat="1"/>
    <xf numFmtId="0" fontId="14" fillId="3" borderId="0" xfId="0" applyFont="1" applyFill="1"/>
    <xf numFmtId="0" fontId="20" fillId="3" borderId="0" xfId="0" applyFont="1" applyFill="1"/>
    <xf numFmtId="0" fontId="21" fillId="0" borderId="0" xfId="0" applyFont="1"/>
    <xf numFmtId="0" fontId="22" fillId="0" borderId="0" xfId="0" applyFont="1"/>
    <xf numFmtId="10" fontId="17" fillId="0" borderId="0" xfId="0" applyNumberFormat="1" applyFont="1"/>
    <xf numFmtId="9" fontId="23" fillId="0" borderId="0" xfId="0" applyNumberFormat="1" applyFont="1"/>
    <xf numFmtId="9" fontId="24" fillId="3" borderId="0" xfId="0" applyNumberFormat="1" applyFont="1" applyFill="1"/>
    <xf numFmtId="9" fontId="25" fillId="0" borderId="0" xfId="0" applyNumberFormat="1" applyFont="1"/>
    <xf numFmtId="0" fontId="21" fillId="0" borderId="0" xfId="0" applyFont="1" applyAlignment="1">
      <alignment vertical="top"/>
    </xf>
    <xf numFmtId="9" fontId="23" fillId="0" borderId="0" xfId="1" applyFont="1"/>
    <xf numFmtId="0" fontId="25" fillId="0" borderId="0" xfId="0" applyFont="1"/>
    <xf numFmtId="0" fontId="23" fillId="0" borderId="0" xfId="0" applyFont="1"/>
    <xf numFmtId="0" fontId="0" fillId="2" borderId="0" xfId="0" applyFill="1"/>
    <xf numFmtId="17" fontId="26" fillId="4" borderId="2" xfId="0" applyNumberFormat="1" applyFont="1" applyFill="1" applyBorder="1" applyAlignment="1">
      <alignment horizontal="right" vertical="center" wrapText="1"/>
    </xf>
    <xf numFmtId="0" fontId="27" fillId="5" borderId="0" xfId="0" applyFont="1" applyFill="1" applyAlignment="1">
      <alignment horizontal="left" vertical="center" wrapText="1" indent="2"/>
    </xf>
    <xf numFmtId="10" fontId="27" fillId="5" borderId="0" xfId="0" applyNumberFormat="1" applyFont="1" applyFill="1" applyAlignment="1">
      <alignment horizontal="right" vertical="center" wrapText="1"/>
    </xf>
    <xf numFmtId="0" fontId="27" fillId="4" borderId="0" xfId="0" applyFont="1" applyFill="1" applyAlignment="1">
      <alignment horizontal="left" vertical="center" wrapText="1" indent="2"/>
    </xf>
    <xf numFmtId="10" fontId="27" fillId="4" borderId="0" xfId="0" applyNumberFormat="1" applyFont="1" applyFill="1" applyAlignment="1">
      <alignment horizontal="right" vertical="center" wrapText="1"/>
    </xf>
    <xf numFmtId="0" fontId="0" fillId="0" borderId="0" xfId="0" applyAlignment="1">
      <alignment vertical="center" wrapText="1"/>
    </xf>
    <xf numFmtId="0" fontId="28" fillId="2" borderId="0" xfId="0" applyFont="1" applyFill="1"/>
    <xf numFmtId="0" fontId="29" fillId="2" borderId="0" xfId="0" applyFont="1" applyFill="1"/>
    <xf numFmtId="0" fontId="30" fillId="2" borderId="0" xfId="0" applyFont="1" applyFill="1"/>
    <xf numFmtId="0" fontId="31" fillId="6" borderId="0" xfId="0" applyFont="1" applyFill="1"/>
    <xf numFmtId="0" fontId="32" fillId="6" borderId="0" xfId="0" applyFont="1" applyFill="1"/>
    <xf numFmtId="0" fontId="4" fillId="6" borderId="0" xfId="0" applyFont="1" applyFill="1"/>
    <xf numFmtId="16" fontId="19" fillId="6" borderId="0" xfId="0" applyNumberFormat="1" applyFont="1" applyFill="1"/>
    <xf numFmtId="0" fontId="33" fillId="0" borderId="0" xfId="0" applyFont="1"/>
    <xf numFmtId="0" fontId="34" fillId="0" borderId="0" xfId="0" applyFont="1"/>
    <xf numFmtId="9" fontId="35" fillId="0" borderId="0" xfId="0" applyNumberFormat="1" applyFont="1"/>
    <xf numFmtId="0" fontId="35" fillId="0" borderId="0" xfId="0" applyFont="1"/>
    <xf numFmtId="0" fontId="36" fillId="2" borderId="0" xfId="0" applyFont="1" applyFill="1"/>
    <xf numFmtId="9" fontId="0" fillId="0" borderId="0" xfId="0" applyNumberFormat="1"/>
    <xf numFmtId="0" fontId="37" fillId="2" borderId="0" xfId="0" applyFont="1" applyFill="1"/>
    <xf numFmtId="0" fontId="36" fillId="6" borderId="0" xfId="0" applyFont="1" applyFill="1"/>
    <xf numFmtId="0" fontId="15" fillId="0" borderId="0" xfId="0" applyFont="1"/>
    <xf numFmtId="0" fontId="38" fillId="0" borderId="0" xfId="0" applyFont="1" applyAlignment="1">
      <alignment horizontal="left" vertical="center" wrapText="1" indent="1"/>
    </xf>
    <xf numFmtId="0" fontId="0" fillId="6" borderId="0" xfId="0" applyFill="1"/>
    <xf numFmtId="0" fontId="12" fillId="6" borderId="0" xfId="0" applyFont="1" applyFill="1"/>
    <xf numFmtId="0" fontId="30" fillId="6" borderId="0" xfId="0" applyFont="1" applyFill="1"/>
    <xf numFmtId="0" fontId="0" fillId="7" borderId="0" xfId="0" applyFill="1"/>
    <xf numFmtId="0" fontId="4" fillId="7" borderId="0" xfId="0" applyFont="1" applyFill="1"/>
    <xf numFmtId="0" fontId="39" fillId="7" borderId="0" xfId="0" applyFont="1" applyFill="1"/>
    <xf numFmtId="0" fontId="40" fillId="7" borderId="0" xfId="0" applyFont="1" applyFill="1"/>
    <xf numFmtId="9" fontId="39" fillId="7" borderId="0" xfId="0" applyNumberFormat="1" applyFont="1" applyFill="1"/>
    <xf numFmtId="0" fontId="40" fillId="0" borderId="0" xfId="0" applyFont="1"/>
    <xf numFmtId="0" fontId="25" fillId="8" borderId="0" xfId="0" applyFont="1" applyFill="1"/>
    <xf numFmtId="0" fontId="41" fillId="8" borderId="0" xfId="0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487270341207349"/>
          <c:y val="0.11807903729015004"/>
          <c:w val="0.85334951881014875"/>
          <c:h val="0.6149843248760571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[1]Sheet3!$R$86</c:f>
              <c:strCache>
                <c:ptCount val="1"/>
                <c:pt idx="0">
                  <c:v>Mar-22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[1]Sheet3!$Q$87:$Q$91</c:f>
              <c:strCache>
                <c:ptCount val="5"/>
                <c:pt idx="0">
                  <c:v>FIIs +</c:v>
                </c:pt>
                <c:pt idx="1">
                  <c:v>DIIs +</c:v>
                </c:pt>
                <c:pt idx="2">
                  <c:v>Government +</c:v>
                </c:pt>
                <c:pt idx="3">
                  <c:v>Public +</c:v>
                </c:pt>
                <c:pt idx="4">
                  <c:v>Others +</c:v>
                </c:pt>
              </c:strCache>
            </c:strRef>
          </c:cat>
          <c:val>
            <c:numRef>
              <c:f>[1]Sheet3!$R$87:$R$91</c:f>
              <c:numCache>
                <c:formatCode>0.00%</c:formatCode>
                <c:ptCount val="5"/>
                <c:pt idx="0">
                  <c:v>0.10440000000000001</c:v>
                </c:pt>
                <c:pt idx="1">
                  <c:v>3.0499999999999999E-2</c:v>
                </c:pt>
                <c:pt idx="2">
                  <c:v>0</c:v>
                </c:pt>
                <c:pt idx="3">
                  <c:v>0.83599999999999997</c:v>
                </c:pt>
                <c:pt idx="4">
                  <c:v>2.9100000000000001E-2</c:v>
                </c:pt>
              </c:numCache>
            </c:numRef>
          </c:val>
        </c:ser>
        <c:ser>
          <c:idx val="1"/>
          <c:order val="1"/>
          <c:tx>
            <c:strRef>
              <c:f>[1]Sheet3!$S$86</c:f>
              <c:strCache>
                <c:ptCount val="1"/>
                <c:pt idx="0">
                  <c:v>Mar-23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[1]Sheet3!$Q$87:$Q$91</c:f>
              <c:strCache>
                <c:ptCount val="5"/>
                <c:pt idx="0">
                  <c:v>FIIs +</c:v>
                </c:pt>
                <c:pt idx="1">
                  <c:v>DIIs +</c:v>
                </c:pt>
                <c:pt idx="2">
                  <c:v>Government +</c:v>
                </c:pt>
                <c:pt idx="3">
                  <c:v>Public +</c:v>
                </c:pt>
                <c:pt idx="4">
                  <c:v>Others +</c:v>
                </c:pt>
              </c:strCache>
            </c:strRef>
          </c:cat>
          <c:val>
            <c:numRef>
              <c:f>[1]Sheet3!$S$87:$S$91</c:f>
              <c:numCache>
                <c:formatCode>0.00%</c:formatCode>
                <c:ptCount val="5"/>
                <c:pt idx="0">
                  <c:v>0.54610000000000003</c:v>
                </c:pt>
                <c:pt idx="1">
                  <c:v>8.0399999999999999E-2</c:v>
                </c:pt>
                <c:pt idx="2">
                  <c:v>0</c:v>
                </c:pt>
                <c:pt idx="3">
                  <c:v>0.35149999999999998</c:v>
                </c:pt>
                <c:pt idx="4">
                  <c:v>2.2200000000000001E-2</c:v>
                </c:pt>
              </c:numCache>
            </c:numRef>
          </c:val>
        </c:ser>
        <c:ser>
          <c:idx val="2"/>
          <c:order val="2"/>
          <c:tx>
            <c:strRef>
              <c:f>[1]Sheet3!$T$86</c:f>
              <c:strCache>
                <c:ptCount val="1"/>
                <c:pt idx="0">
                  <c:v>Mar-24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[1]Sheet3!$Q$87:$Q$91</c:f>
              <c:strCache>
                <c:ptCount val="5"/>
                <c:pt idx="0">
                  <c:v>FIIs +</c:v>
                </c:pt>
                <c:pt idx="1">
                  <c:v>DIIs +</c:v>
                </c:pt>
                <c:pt idx="2">
                  <c:v>Government +</c:v>
                </c:pt>
                <c:pt idx="3">
                  <c:v>Public +</c:v>
                </c:pt>
                <c:pt idx="4">
                  <c:v>Others +</c:v>
                </c:pt>
              </c:strCache>
            </c:strRef>
          </c:cat>
          <c:val>
            <c:numRef>
              <c:f>[1]Sheet3!$T$87:$T$91</c:f>
              <c:numCache>
                <c:formatCode>0.00%</c:formatCode>
                <c:ptCount val="5"/>
                <c:pt idx="0">
                  <c:v>0.55110000000000003</c:v>
                </c:pt>
                <c:pt idx="1">
                  <c:v>0.15279999999999999</c:v>
                </c:pt>
                <c:pt idx="2">
                  <c:v>0</c:v>
                </c:pt>
                <c:pt idx="3">
                  <c:v>0.28050000000000003</c:v>
                </c:pt>
                <c:pt idx="4">
                  <c:v>1.5800000000000002E-2</c:v>
                </c:pt>
              </c:numCache>
            </c:numRef>
          </c:val>
        </c:ser>
        <c:ser>
          <c:idx val="3"/>
          <c:order val="3"/>
          <c:tx>
            <c:strRef>
              <c:f>[1]Sheet3!$U$86</c:f>
              <c:strCache>
                <c:ptCount val="1"/>
                <c:pt idx="0">
                  <c:v>Mar-25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[1]Sheet3!$Q$87:$Q$91</c:f>
              <c:strCache>
                <c:ptCount val="5"/>
                <c:pt idx="0">
                  <c:v>FIIs +</c:v>
                </c:pt>
                <c:pt idx="1">
                  <c:v>DIIs +</c:v>
                </c:pt>
                <c:pt idx="2">
                  <c:v>Government +</c:v>
                </c:pt>
                <c:pt idx="3">
                  <c:v>Public +</c:v>
                </c:pt>
                <c:pt idx="4">
                  <c:v>Others +</c:v>
                </c:pt>
              </c:strCache>
            </c:strRef>
          </c:cat>
          <c:val>
            <c:numRef>
              <c:f>[1]Sheet3!$U$87:$U$91</c:f>
              <c:numCache>
                <c:formatCode>0.00%</c:formatCode>
                <c:ptCount val="5"/>
                <c:pt idx="0">
                  <c:v>0.44359999999999999</c:v>
                </c:pt>
                <c:pt idx="1">
                  <c:v>0.23469999999999999</c:v>
                </c:pt>
                <c:pt idx="2">
                  <c:v>1E-3</c:v>
                </c:pt>
                <c:pt idx="3">
                  <c:v>0.26079999999999998</c:v>
                </c:pt>
                <c:pt idx="4">
                  <c:v>5.9799999999999999E-2</c:v>
                </c:pt>
              </c:numCache>
            </c:numRef>
          </c:val>
        </c:ser>
        <c:ser>
          <c:idx val="4"/>
          <c:order val="4"/>
          <c:tx>
            <c:strRef>
              <c:f>[1]Sheet3!$V$86</c:f>
              <c:strCache>
                <c:ptCount val="1"/>
                <c:pt idx="0">
                  <c:v>Mar-26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[1]Sheet3!$Q$87:$Q$91</c:f>
              <c:strCache>
                <c:ptCount val="5"/>
                <c:pt idx="0">
                  <c:v>FIIs +</c:v>
                </c:pt>
                <c:pt idx="1">
                  <c:v>DIIs +</c:v>
                </c:pt>
                <c:pt idx="2">
                  <c:v>Government +</c:v>
                </c:pt>
                <c:pt idx="3">
                  <c:v>Public +</c:v>
                </c:pt>
                <c:pt idx="4">
                  <c:v>Others +</c:v>
                </c:pt>
              </c:strCache>
            </c:strRef>
          </c:cat>
          <c:val>
            <c:numRef>
              <c:f>[1]Sheet3!$V$87:$V$91</c:f>
              <c:numCache>
                <c:formatCode>0.00%</c:formatCode>
                <c:ptCount val="5"/>
                <c:pt idx="0">
                  <c:v>0.3261</c:v>
                </c:pt>
                <c:pt idx="1">
                  <c:v>0.35880000000000001</c:v>
                </c:pt>
                <c:pt idx="2">
                  <c:v>1E-3</c:v>
                </c:pt>
                <c:pt idx="3">
                  <c:v>0.26679999999999998</c:v>
                </c:pt>
                <c:pt idx="4">
                  <c:v>4.7300000000000002E-2</c:v>
                </c:pt>
              </c:numCache>
            </c:numRef>
          </c:val>
        </c:ser>
        <c:ser>
          <c:idx val="5"/>
          <c:order val="5"/>
          <c:tx>
            <c:strRef>
              <c:f>[1]Sheet3!$W$86</c:f>
              <c:strCache>
                <c:ptCount val="1"/>
                <c:pt idx="0">
                  <c:v>Jun-26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[1]Sheet3!$Q$87:$Q$91</c:f>
              <c:strCache>
                <c:ptCount val="5"/>
                <c:pt idx="0">
                  <c:v>FIIs +</c:v>
                </c:pt>
                <c:pt idx="1">
                  <c:v>DIIs +</c:v>
                </c:pt>
                <c:pt idx="2">
                  <c:v>Government +</c:v>
                </c:pt>
                <c:pt idx="3">
                  <c:v>Public +</c:v>
                </c:pt>
                <c:pt idx="4">
                  <c:v>Others +</c:v>
                </c:pt>
              </c:strCache>
            </c:strRef>
          </c:cat>
          <c:val>
            <c:numRef>
              <c:f>[1]Sheet3!$W$87:$W$91</c:f>
              <c:numCache>
                <c:formatCode>0.00%</c:formatCode>
                <c:ptCount val="5"/>
                <c:pt idx="0">
                  <c:v>0.29089999999999999</c:v>
                </c:pt>
                <c:pt idx="1">
                  <c:v>0.3921</c:v>
                </c:pt>
                <c:pt idx="2">
                  <c:v>1.1000000000000001E-3</c:v>
                </c:pt>
                <c:pt idx="3">
                  <c:v>0.26989999999999997</c:v>
                </c:pt>
                <c:pt idx="4">
                  <c:v>4.6100000000000002E-2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4741680"/>
        <c:axId val="484742072"/>
      </c:barChart>
      <c:catAx>
        <c:axId val="484741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742072"/>
        <c:crosses val="autoZero"/>
        <c:auto val="1"/>
        <c:lblAlgn val="ctr"/>
        <c:lblOffset val="100"/>
        <c:noMultiLvlLbl val="0"/>
      </c:catAx>
      <c:valAx>
        <c:axId val="484742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741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emf"/><Relationship Id="rId3" Type="http://schemas.openxmlformats.org/officeDocument/2006/relationships/image" Target="../media/image3.jpeg"/><Relationship Id="rId7" Type="http://schemas.openxmlformats.org/officeDocument/2006/relationships/chart" Target="../charts/chart1.xml"/><Relationship Id="rId12" Type="http://schemas.openxmlformats.org/officeDocument/2006/relationships/image" Target="../media/image11.emf"/><Relationship Id="rId2" Type="http://schemas.openxmlformats.org/officeDocument/2006/relationships/image" Target="../media/image2.jpeg"/><Relationship Id="rId1" Type="http://schemas.openxmlformats.org/officeDocument/2006/relationships/image" Target="../media/image1.emf"/><Relationship Id="rId6" Type="http://schemas.openxmlformats.org/officeDocument/2006/relationships/image" Target="../media/image6.jpeg"/><Relationship Id="rId11" Type="http://schemas.openxmlformats.org/officeDocument/2006/relationships/image" Target="../media/image10.emf"/><Relationship Id="rId5" Type="http://schemas.openxmlformats.org/officeDocument/2006/relationships/image" Target="../media/image5.png"/><Relationship Id="rId10" Type="http://schemas.openxmlformats.org/officeDocument/2006/relationships/image" Target="../media/image9.emf"/><Relationship Id="rId4" Type="http://schemas.openxmlformats.org/officeDocument/2006/relationships/image" Target="../media/image4.png"/><Relationship Id="rId9" Type="http://schemas.openxmlformats.org/officeDocument/2006/relationships/image" Target="../media/image8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197020</xdr:colOff>
      <xdr:row>6</xdr:row>
      <xdr:rowOff>155700</xdr:rowOff>
    </xdr:from>
    <xdr:to>
      <xdr:col>9</xdr:col>
      <xdr:colOff>284532</xdr:colOff>
      <xdr:row>19</xdr:row>
      <xdr:rowOff>205740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6620" y="2136900"/>
          <a:ext cx="4964312" cy="2823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601979</xdr:colOff>
      <xdr:row>6</xdr:row>
      <xdr:rowOff>76199</xdr:rowOff>
    </xdr:from>
    <xdr:to>
      <xdr:col>21</xdr:col>
      <xdr:colOff>388620</xdr:colOff>
      <xdr:row>16</xdr:row>
      <xdr:rowOff>64260</xdr:rowOff>
    </xdr:to>
    <xdr:pic>
      <xdr:nvPicPr>
        <xdr:cNvPr id="3" name="Picture 2" descr="Eternal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36379" y="2057399"/>
          <a:ext cx="4053841" cy="18930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219958</xdr:colOff>
      <xdr:row>6</xdr:row>
      <xdr:rowOff>39278</xdr:rowOff>
    </xdr:from>
    <xdr:to>
      <xdr:col>15</xdr:col>
      <xdr:colOff>109979</xdr:colOff>
      <xdr:row>12</xdr:row>
      <xdr:rowOff>87119</xdr:rowOff>
    </xdr:to>
    <xdr:pic>
      <xdr:nvPicPr>
        <xdr:cNvPr id="4" name="Picture 3" descr="Zomato to Eternal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33278" y="1936658"/>
          <a:ext cx="1718821" cy="11451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243841</xdr:colOff>
      <xdr:row>12</xdr:row>
      <xdr:rowOff>99060</xdr:rowOff>
    </xdr:from>
    <xdr:to>
      <xdr:col>15</xdr:col>
      <xdr:colOff>114301</xdr:colOff>
      <xdr:row>16</xdr:row>
      <xdr:rowOff>205740</xdr:rowOff>
    </xdr:to>
    <xdr:pic>
      <xdr:nvPicPr>
        <xdr:cNvPr id="5" name="Picture 4" descr="Press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59041" y="3177540"/>
          <a:ext cx="1699260" cy="914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196394</xdr:colOff>
      <xdr:row>6</xdr:row>
      <xdr:rowOff>25689</xdr:rowOff>
    </xdr:from>
    <xdr:to>
      <xdr:col>24</xdr:col>
      <xdr:colOff>137160</xdr:colOff>
      <xdr:row>11</xdr:row>
      <xdr:rowOff>130718</xdr:rowOff>
    </xdr:to>
    <xdr:pic>
      <xdr:nvPicPr>
        <xdr:cNvPr id="6" name="Picture 5" descr="Wholesale Suppliers for Restaurant at Mandi Rate in Bengaluru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97994" y="2006889"/>
          <a:ext cx="1769566" cy="10194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157116</xdr:colOff>
      <xdr:row>11</xdr:row>
      <xdr:rowOff>125690</xdr:rowOff>
    </xdr:from>
    <xdr:to>
      <xdr:col>24</xdr:col>
      <xdr:colOff>212103</xdr:colOff>
      <xdr:row>17</xdr:row>
      <xdr:rowOff>19010</xdr:rowOff>
    </xdr:to>
    <xdr:pic>
      <xdr:nvPicPr>
        <xdr:cNvPr id="7" name="Picture 6" descr="Zomato launches 'District': A one stop destination app for going-out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51196" y="3097490"/>
          <a:ext cx="1883787" cy="990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306371</xdr:colOff>
      <xdr:row>28</xdr:row>
      <xdr:rowOff>31423</xdr:rowOff>
    </xdr:from>
    <xdr:to>
      <xdr:col>23</xdr:col>
      <xdr:colOff>314227</xdr:colOff>
      <xdr:row>34</xdr:row>
      <xdr:rowOff>117835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0</xdr:col>
      <xdr:colOff>0</xdr:colOff>
      <xdr:row>33</xdr:row>
      <xdr:rowOff>109979</xdr:rowOff>
    </xdr:from>
    <xdr:to>
      <xdr:col>10</xdr:col>
      <xdr:colOff>542670</xdr:colOff>
      <xdr:row>45</xdr:row>
      <xdr:rowOff>42812</xdr:rowOff>
    </xdr:to>
    <xdr:pic>
      <xdr:nvPicPr>
        <xdr:cNvPr id="9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12959"/>
          <a:ext cx="6638670" cy="2127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400639</xdr:colOff>
      <xdr:row>47</xdr:row>
      <xdr:rowOff>62845</xdr:rowOff>
    </xdr:from>
    <xdr:to>
      <xdr:col>11</xdr:col>
      <xdr:colOff>64023</xdr:colOff>
      <xdr:row>65</xdr:row>
      <xdr:rowOff>163633</xdr:rowOff>
    </xdr:to>
    <xdr:pic>
      <xdr:nvPicPr>
        <xdr:cNvPr id="10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659" y="12445345"/>
          <a:ext cx="5759384" cy="33926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</xdr:colOff>
      <xdr:row>70</xdr:row>
      <xdr:rowOff>0</xdr:rowOff>
    </xdr:from>
    <xdr:to>
      <xdr:col>11</xdr:col>
      <xdr:colOff>204484</xdr:colOff>
      <xdr:row>98</xdr:row>
      <xdr:rowOff>89083</xdr:rowOff>
    </xdr:to>
    <xdr:pic>
      <xdr:nvPicPr>
        <xdr:cNvPr id="11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1" y="17495520"/>
          <a:ext cx="5690883" cy="52097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384928</xdr:colOff>
      <xdr:row>126</xdr:row>
      <xdr:rowOff>15712</xdr:rowOff>
    </xdr:from>
    <xdr:to>
      <xdr:col>11</xdr:col>
      <xdr:colOff>443216</xdr:colOff>
      <xdr:row>134</xdr:row>
      <xdr:rowOff>102124</xdr:rowOff>
    </xdr:to>
    <xdr:pic>
      <xdr:nvPicPr>
        <xdr:cNvPr id="12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4948" y="28522132"/>
          <a:ext cx="6154288" cy="1549452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180681</xdr:colOff>
      <xdr:row>106</xdr:row>
      <xdr:rowOff>125691</xdr:rowOff>
    </xdr:from>
    <xdr:to>
      <xdr:col>11</xdr:col>
      <xdr:colOff>446045</xdr:colOff>
      <xdr:row>120</xdr:row>
      <xdr:rowOff>112651</xdr:rowOff>
    </xdr:to>
    <xdr:pic>
      <xdr:nvPicPr>
        <xdr:cNvPr id="13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701" y="24791631"/>
          <a:ext cx="6361364" cy="25472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353505</xdr:colOff>
      <xdr:row>143</xdr:row>
      <xdr:rowOff>70701</xdr:rowOff>
    </xdr:from>
    <xdr:to>
      <xdr:col>15</xdr:col>
      <xdr:colOff>471026</xdr:colOff>
      <xdr:row>167</xdr:row>
      <xdr:rowOff>34800</xdr:rowOff>
    </xdr:to>
    <xdr:pic>
      <xdr:nvPicPr>
        <xdr:cNvPr id="14" name="Picture 13"/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4065" y="31929921"/>
          <a:ext cx="8042321" cy="43532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RESEARCH%20REPORT%20Etrenal%20limi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/>
      <sheetData sheetId="2">
        <row r="86">
          <cell r="R86">
            <v>44621</v>
          </cell>
          <cell r="S86">
            <v>44986</v>
          </cell>
          <cell r="T86">
            <v>45352</v>
          </cell>
          <cell r="U86">
            <v>45717</v>
          </cell>
          <cell r="V86">
            <v>46082</v>
          </cell>
          <cell r="W86">
            <v>46174</v>
          </cell>
        </row>
        <row r="87">
          <cell r="Q87" t="str">
            <v>FIIs +</v>
          </cell>
          <cell r="R87">
            <v>0.10440000000000001</v>
          </cell>
          <cell r="S87">
            <v>0.54610000000000003</v>
          </cell>
          <cell r="T87">
            <v>0.55110000000000003</v>
          </cell>
          <cell r="U87">
            <v>0.44359999999999999</v>
          </cell>
          <cell r="V87">
            <v>0.3261</v>
          </cell>
          <cell r="W87">
            <v>0.29089999999999999</v>
          </cell>
        </row>
        <row r="88">
          <cell r="Q88" t="str">
            <v>DIIs +</v>
          </cell>
          <cell r="R88">
            <v>3.0499999999999999E-2</v>
          </cell>
          <cell r="S88">
            <v>8.0399999999999999E-2</v>
          </cell>
          <cell r="T88">
            <v>0.15279999999999999</v>
          </cell>
          <cell r="U88">
            <v>0.23469999999999999</v>
          </cell>
          <cell r="V88">
            <v>0.35880000000000001</v>
          </cell>
          <cell r="W88">
            <v>0.3921</v>
          </cell>
        </row>
        <row r="89">
          <cell r="Q89" t="str">
            <v>Government +</v>
          </cell>
          <cell r="R89">
            <v>0</v>
          </cell>
          <cell r="S89">
            <v>0</v>
          </cell>
          <cell r="T89">
            <v>0</v>
          </cell>
          <cell r="U89">
            <v>1E-3</v>
          </cell>
          <cell r="V89">
            <v>1E-3</v>
          </cell>
          <cell r="W89">
            <v>1.1000000000000001E-3</v>
          </cell>
        </row>
        <row r="90">
          <cell r="Q90" t="str">
            <v>Public +</v>
          </cell>
          <cell r="R90">
            <v>0.83599999999999997</v>
          </cell>
          <cell r="S90">
            <v>0.35149999999999998</v>
          </cell>
          <cell r="T90">
            <v>0.28050000000000003</v>
          </cell>
          <cell r="U90">
            <v>0.26079999999999998</v>
          </cell>
          <cell r="V90">
            <v>0.26679999999999998</v>
          </cell>
          <cell r="W90">
            <v>0.26989999999999997</v>
          </cell>
        </row>
        <row r="91">
          <cell r="Q91" t="str">
            <v>Others +</v>
          </cell>
          <cell r="R91">
            <v>2.9100000000000001E-2</v>
          </cell>
          <cell r="S91">
            <v>2.2200000000000001E-2</v>
          </cell>
          <cell r="T91">
            <v>1.5800000000000002E-2</v>
          </cell>
          <cell r="U91">
            <v>5.9799999999999999E-2</v>
          </cell>
          <cell r="V91">
            <v>4.7300000000000002E-2</v>
          </cell>
          <cell r="W91">
            <v>4.6100000000000002E-2</v>
          </cell>
        </row>
        <row r="128">
          <cell r="E128">
            <v>0.68869274809160297</v>
          </cell>
          <cell r="G128">
            <v>0.67104176985306263</v>
          </cell>
          <cell r="H128">
            <v>1.6855703206046533</v>
          </cell>
        </row>
        <row r="132">
          <cell r="F132">
            <v>-0.3457590491626148</v>
          </cell>
          <cell r="G132">
            <v>-1.0355078447563997</v>
          </cell>
          <cell r="H132">
            <v>14.069767441860465</v>
          </cell>
          <cell r="I132">
            <v>0.86419753086419759</v>
          </cell>
        </row>
        <row r="137">
          <cell r="F137">
            <v>-0.16803278688524592</v>
          </cell>
          <cell r="G137">
            <v>-1.2866995073891625</v>
          </cell>
          <cell r="H137">
            <v>1.395189003436426</v>
          </cell>
          <cell r="I137">
            <v>-0.11764705882352944</v>
          </cell>
        </row>
        <row r="144">
          <cell r="G144">
            <v>-0.20540098199672663</v>
          </cell>
          <cell r="H144">
            <v>-1.3614830072090629</v>
          </cell>
          <cell r="I144">
            <v>0.50142450142450135</v>
          </cell>
          <cell r="J144">
            <v>-0.30550284629981028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Y200"/>
  <sheetViews>
    <sheetView showGridLines="0" tabSelected="1" topLeftCell="A181" workbookViewId="0">
      <selection activeCell="E212" sqref="E212"/>
    </sheetView>
  </sheetViews>
  <sheetFormatPr defaultRowHeight="14.4" outlineLevelRow="1" x14ac:dyDescent="0.3"/>
  <sheetData>
    <row r="2" spans="2:25" x14ac:dyDescent="0.3">
      <c r="B2" s="1"/>
      <c r="C2" s="1"/>
      <c r="D2" s="1"/>
      <c r="E2" s="1"/>
    </row>
    <row r="3" spans="2:25" ht="61.2" x14ac:dyDescent="1.1000000000000001">
      <c r="B3" s="1"/>
      <c r="C3" s="1"/>
      <c r="D3" s="2"/>
      <c r="E3" s="2"/>
      <c r="F3" s="3" t="s">
        <v>0</v>
      </c>
      <c r="G3" s="3"/>
      <c r="H3" s="3"/>
      <c r="I3" s="4"/>
      <c r="J3" s="4"/>
      <c r="K3" s="4"/>
    </row>
    <row r="4" spans="2:25" x14ac:dyDescent="0.3">
      <c r="E4" s="1"/>
      <c r="F4" s="1"/>
      <c r="G4" s="1"/>
      <c r="H4" s="1"/>
      <c r="I4" s="1"/>
      <c r="J4" s="1"/>
      <c r="K4" s="1"/>
      <c r="L4" s="1"/>
    </row>
    <row r="5" spans="2:25" x14ac:dyDescent="0.3">
      <c r="E5" s="1"/>
      <c r="F5" s="1"/>
      <c r="G5" s="1"/>
      <c r="H5" s="1"/>
    </row>
    <row r="6" spans="2:25" ht="37.200000000000003" thickBot="1" x14ac:dyDescent="0.75">
      <c r="B6" s="5"/>
      <c r="C6" s="6" t="s">
        <v>1</v>
      </c>
      <c r="D6" s="6"/>
      <c r="E6" s="7"/>
      <c r="F6" s="8"/>
      <c r="G6" s="9"/>
      <c r="H6" s="10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10" spans="2:25" x14ac:dyDescent="0.3">
      <c r="B10" s="12"/>
      <c r="C10" s="12"/>
      <c r="D10" s="12"/>
      <c r="E10" s="12"/>
      <c r="F10" s="12"/>
      <c r="G10" s="12"/>
      <c r="H10" s="12"/>
      <c r="I10" s="12"/>
    </row>
    <row r="11" spans="2:25" x14ac:dyDescent="0.3">
      <c r="B11" s="12"/>
      <c r="C11" s="12"/>
      <c r="D11" s="12"/>
      <c r="E11" s="12"/>
      <c r="F11" s="12"/>
      <c r="G11" s="12"/>
      <c r="H11" s="12"/>
      <c r="I11" s="12"/>
    </row>
    <row r="12" spans="2:25" x14ac:dyDescent="0.3">
      <c r="B12" s="12"/>
      <c r="C12" s="12"/>
      <c r="D12" s="12"/>
      <c r="E12" s="12"/>
      <c r="F12" s="12"/>
      <c r="G12" s="12"/>
      <c r="H12" s="12"/>
      <c r="I12" s="12"/>
    </row>
    <row r="13" spans="2:25" x14ac:dyDescent="0.3">
      <c r="B13" s="12"/>
      <c r="C13" s="12"/>
      <c r="D13" s="12"/>
      <c r="E13" s="12"/>
      <c r="F13" s="12"/>
      <c r="G13" s="12"/>
      <c r="H13" s="12"/>
      <c r="I13" s="12"/>
      <c r="O13" s="13"/>
    </row>
    <row r="14" spans="2:25" x14ac:dyDescent="0.3">
      <c r="B14" s="12"/>
      <c r="C14" s="12"/>
      <c r="D14" s="12"/>
      <c r="E14" s="12"/>
      <c r="F14" s="12"/>
      <c r="G14" s="12"/>
      <c r="H14" s="12"/>
      <c r="I14" s="12"/>
    </row>
    <row r="15" spans="2:25" ht="17.399999999999999" x14ac:dyDescent="0.3">
      <c r="C15" s="14"/>
      <c r="D15" s="14"/>
      <c r="E15" s="14"/>
      <c r="F15" s="14"/>
      <c r="G15" s="14"/>
      <c r="H15" s="14"/>
      <c r="I15" s="14"/>
      <c r="J15" s="14"/>
      <c r="K15" s="14"/>
      <c r="L15" s="14"/>
    </row>
    <row r="16" spans="2:25" ht="17.399999999999999" x14ac:dyDescent="0.3"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R16" s="1"/>
    </row>
    <row r="17" spans="1:25" ht="17.399999999999999" x14ac:dyDescent="0.3"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</row>
    <row r="18" spans="1:25" ht="33.6" x14ac:dyDescent="0.65"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5"/>
      <c r="N18" s="16"/>
      <c r="O18" s="16"/>
      <c r="P18" s="17"/>
      <c r="Q18" s="18" t="s">
        <v>2</v>
      </c>
      <c r="R18" s="18"/>
      <c r="S18" s="18"/>
      <c r="T18" s="17"/>
      <c r="U18" s="17"/>
      <c r="V18" s="17"/>
      <c r="W18" s="16"/>
      <c r="X18" s="16"/>
      <c r="Y18" s="16"/>
    </row>
    <row r="19" spans="1:25" ht="17.399999999999999" x14ac:dyDescent="0.3"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S19" s="19"/>
      <c r="T19" s="19"/>
      <c r="U19" s="19" t="s">
        <v>3</v>
      </c>
      <c r="V19" s="19"/>
    </row>
    <row r="20" spans="1:25" ht="23.4" x14ac:dyDescent="0.45">
      <c r="L20" s="20" t="s">
        <v>4</v>
      </c>
      <c r="M20" s="20"/>
      <c r="N20" s="20"/>
      <c r="O20" s="20"/>
      <c r="P20" s="21"/>
      <c r="Q20" s="22"/>
      <c r="R20" s="22"/>
      <c r="S20" s="23" t="s">
        <v>5</v>
      </c>
    </row>
    <row r="21" spans="1:25" ht="23.4" x14ac:dyDescent="0.45">
      <c r="A21" s="24"/>
      <c r="B21" s="25" t="s">
        <v>6</v>
      </c>
      <c r="C21" s="25"/>
      <c r="D21" s="26"/>
      <c r="E21" s="27">
        <v>46104</v>
      </c>
      <c r="F21" s="27">
        <v>46105</v>
      </c>
      <c r="G21" s="27">
        <v>46106</v>
      </c>
      <c r="H21" s="27">
        <v>46107</v>
      </c>
      <c r="I21" s="27"/>
      <c r="J21" s="27"/>
      <c r="K21" s="28"/>
      <c r="L21" s="29" t="s">
        <v>7</v>
      </c>
      <c r="M21" s="29"/>
      <c r="N21" s="30"/>
      <c r="O21" s="21" t="s">
        <v>8</v>
      </c>
      <c r="P21" s="31"/>
      <c r="Q21" s="22"/>
      <c r="S21" s="32" t="s">
        <v>9</v>
      </c>
      <c r="T21" s="22"/>
    </row>
    <row r="22" spans="1:25" ht="23.4" x14ac:dyDescent="0.45">
      <c r="A22" s="24"/>
      <c r="B22" s="24"/>
      <c r="C22" s="24"/>
      <c r="L22" s="29" t="s">
        <v>10</v>
      </c>
      <c r="M22" s="29"/>
      <c r="N22" s="30"/>
      <c r="O22" s="21" t="s">
        <v>8</v>
      </c>
      <c r="P22" s="31"/>
      <c r="Q22" s="22"/>
      <c r="S22" s="33"/>
      <c r="T22" s="33">
        <v>0</v>
      </c>
    </row>
    <row r="23" spans="1:25" ht="23.4" x14ac:dyDescent="0.45">
      <c r="B23" s="19" t="s">
        <v>11</v>
      </c>
      <c r="C23" s="19"/>
      <c r="E23" s="34">
        <f>[1]Sheet3!E128</f>
        <v>0.68869274809160297</v>
      </c>
      <c r="F23" s="35">
        <v>0.71</v>
      </c>
      <c r="G23" s="34">
        <f>[1]Sheet3!G128</f>
        <v>0.67104176985306263</v>
      </c>
      <c r="H23" s="34">
        <f>[1]Sheet3!H128</f>
        <v>1.6855703206046533</v>
      </c>
      <c r="I23" s="36"/>
      <c r="L23" s="29" t="s">
        <v>12</v>
      </c>
      <c r="M23" s="29"/>
      <c r="N23" s="30"/>
      <c r="O23" s="21" t="s">
        <v>8</v>
      </c>
      <c r="P23" s="37"/>
      <c r="Q23" s="22"/>
      <c r="S23" s="23" t="s">
        <v>13</v>
      </c>
    </row>
    <row r="24" spans="1:25" ht="23.4" x14ac:dyDescent="0.45">
      <c r="B24" s="19" t="s">
        <v>14</v>
      </c>
      <c r="C24" s="19"/>
      <c r="E24" s="38">
        <f>[1]Sheet3!F132</f>
        <v>-0.3457590491626148</v>
      </c>
      <c r="F24" s="38">
        <f>[1]Sheet3!G132</f>
        <v>-1.0355078447563997</v>
      </c>
      <c r="G24" s="38">
        <f>[1]Sheet3!H132</f>
        <v>14.069767441860465</v>
      </c>
      <c r="H24" s="38">
        <f>[1]Sheet3!I132</f>
        <v>0.86419753086419759</v>
      </c>
      <c r="I24" s="39"/>
      <c r="L24" s="29" t="s">
        <v>15</v>
      </c>
      <c r="M24" s="29"/>
      <c r="N24" s="30"/>
      <c r="O24" s="21" t="s">
        <v>8</v>
      </c>
      <c r="P24" s="37"/>
      <c r="Q24" s="22"/>
      <c r="S24" s="33"/>
      <c r="T24" s="33">
        <v>2.9770000000000001E-2</v>
      </c>
    </row>
    <row r="25" spans="1:25" ht="23.4" x14ac:dyDescent="0.45">
      <c r="B25" s="19" t="s">
        <v>16</v>
      </c>
      <c r="C25" s="19"/>
      <c r="E25" s="40"/>
      <c r="F25" s="40"/>
      <c r="G25" s="40"/>
      <c r="H25" s="40"/>
      <c r="I25" s="39"/>
      <c r="L25" s="29" t="s">
        <v>17</v>
      </c>
      <c r="M25" s="29"/>
      <c r="N25" s="30"/>
      <c r="O25" s="21" t="s">
        <v>8</v>
      </c>
      <c r="P25" s="37"/>
      <c r="Q25" s="22"/>
      <c r="S25" s="33"/>
      <c r="T25" s="33">
        <v>1.1900000000000001E-2</v>
      </c>
      <c r="X25" t="s">
        <v>18</v>
      </c>
    </row>
    <row r="26" spans="1:25" ht="15.6" x14ac:dyDescent="0.3">
      <c r="B26" s="19"/>
      <c r="C26" s="19"/>
      <c r="E26" s="40"/>
      <c r="F26" s="40"/>
      <c r="G26" s="40"/>
      <c r="H26" s="40"/>
      <c r="I26" s="39"/>
    </row>
    <row r="27" spans="1:25" ht="15.6" x14ac:dyDescent="0.3">
      <c r="B27" s="19" t="s">
        <v>19</v>
      </c>
      <c r="C27" s="19"/>
      <c r="E27" s="38">
        <f>[1]Sheet3!F137</f>
        <v>-0.16803278688524592</v>
      </c>
      <c r="F27" s="38">
        <f>[1]Sheet3!G137</f>
        <v>-1.2866995073891625</v>
      </c>
      <c r="G27" s="38">
        <f>[1]Sheet3!H137</f>
        <v>1.395189003436426</v>
      </c>
      <c r="H27" s="38">
        <f>[1]Sheet3!I137</f>
        <v>-0.11764705882352944</v>
      </c>
      <c r="I27" s="39"/>
    </row>
    <row r="28" spans="1:25" ht="33.6" x14ac:dyDescent="0.65">
      <c r="B28" s="19" t="s">
        <v>20</v>
      </c>
      <c r="C28" s="19"/>
      <c r="E28" s="38">
        <f>[1]Sheet3!G144</f>
        <v>-0.20540098199672663</v>
      </c>
      <c r="F28" s="38">
        <f>[1]Sheet3!H144</f>
        <v>-1.3614830072090629</v>
      </c>
      <c r="G28" s="38">
        <f>[1]Sheet3!I144</f>
        <v>0.50142450142450135</v>
      </c>
      <c r="H28" s="38">
        <f>[1]Sheet3!J144</f>
        <v>-0.30550284629981028</v>
      </c>
      <c r="I28" s="39"/>
      <c r="L28" s="41"/>
      <c r="M28" s="41"/>
      <c r="N28" s="41"/>
      <c r="O28" s="18"/>
      <c r="P28" s="18" t="s">
        <v>21</v>
      </c>
      <c r="Q28" s="18"/>
      <c r="R28" s="18"/>
      <c r="S28" s="17"/>
      <c r="T28" s="17"/>
      <c r="U28" s="17"/>
      <c r="V28" s="41"/>
      <c r="W28" s="41"/>
      <c r="X28" s="41"/>
    </row>
    <row r="29" spans="1:25" ht="15" thickBot="1" x14ac:dyDescent="0.35">
      <c r="N29" s="42"/>
      <c r="O29" s="42"/>
      <c r="P29" s="42"/>
      <c r="Q29" s="42"/>
      <c r="R29" s="42"/>
      <c r="S29" s="42"/>
      <c r="T29" s="42"/>
    </row>
    <row r="30" spans="1:25" x14ac:dyDescent="0.3">
      <c r="N30" s="43"/>
      <c r="O30" s="44"/>
      <c r="P30" s="44"/>
      <c r="Q30" s="44"/>
      <c r="R30" s="44"/>
      <c r="S30" s="44"/>
      <c r="T30" s="44"/>
    </row>
    <row r="31" spans="1:25" ht="33.6" x14ac:dyDescent="0.65">
      <c r="A31" s="17"/>
      <c r="B31" s="18" t="s">
        <v>22</v>
      </c>
      <c r="C31" s="18"/>
      <c r="D31" s="18"/>
      <c r="E31" s="18"/>
      <c r="F31" s="17"/>
      <c r="G31" s="17"/>
      <c r="H31" s="17"/>
      <c r="I31" s="17"/>
      <c r="J31" s="17"/>
      <c r="K31" s="17"/>
      <c r="L31" s="17"/>
      <c r="N31" s="45"/>
      <c r="O31" s="46"/>
      <c r="P31" s="46"/>
      <c r="Q31" s="46"/>
      <c r="R31" s="46"/>
      <c r="S31" s="46"/>
      <c r="T31" s="46"/>
    </row>
    <row r="32" spans="1:25" x14ac:dyDescent="0.3">
      <c r="N32" s="43"/>
      <c r="O32" s="44"/>
      <c r="P32" s="44"/>
      <c r="Q32" s="44"/>
      <c r="R32" s="44"/>
      <c r="S32" s="44"/>
      <c r="T32" s="44"/>
    </row>
    <row r="33" spans="1:25" x14ac:dyDescent="0.3">
      <c r="B33" s="47"/>
      <c r="N33" s="45"/>
      <c r="O33" s="46"/>
      <c r="P33" s="46"/>
      <c r="Q33" s="46"/>
      <c r="R33" s="46"/>
      <c r="S33" s="46"/>
      <c r="T33" s="46"/>
    </row>
    <row r="34" spans="1:25" x14ac:dyDescent="0.3">
      <c r="N34" s="43"/>
      <c r="O34" s="44"/>
      <c r="P34" s="44"/>
      <c r="Q34" s="44"/>
      <c r="R34" s="44"/>
      <c r="S34" s="44"/>
      <c r="T34" s="44"/>
    </row>
    <row r="36" spans="1:25" ht="36.6" x14ac:dyDescent="0.7">
      <c r="M36" s="48"/>
      <c r="N36" s="49"/>
      <c r="O36" s="49"/>
      <c r="P36" s="50"/>
      <c r="Q36" s="50" t="s">
        <v>23</v>
      </c>
      <c r="R36" s="50"/>
      <c r="S36" s="17"/>
      <c r="T36" s="17"/>
      <c r="U36" s="17"/>
      <c r="V36" s="17"/>
      <c r="W36" s="48"/>
      <c r="X36" s="48"/>
      <c r="Y36" s="48"/>
    </row>
    <row r="37" spans="1:25" x14ac:dyDescent="0.3">
      <c r="Q37" s="28"/>
    </row>
    <row r="38" spans="1:25" ht="21" x14ac:dyDescent="0.4">
      <c r="M38" s="51"/>
      <c r="N38" s="52" t="s">
        <v>6</v>
      </c>
      <c r="O38" s="52"/>
      <c r="P38" s="53"/>
      <c r="Q38" s="54"/>
      <c r="R38" s="54">
        <v>46104</v>
      </c>
      <c r="S38" s="54">
        <v>46105</v>
      </c>
      <c r="T38" s="54">
        <v>46106</v>
      </c>
      <c r="U38" s="54">
        <v>46107</v>
      </c>
      <c r="V38" s="54"/>
    </row>
    <row r="39" spans="1:25" ht="21" x14ac:dyDescent="0.4">
      <c r="M39" s="55"/>
      <c r="N39" s="56"/>
      <c r="O39" s="56"/>
    </row>
    <row r="40" spans="1:25" ht="21" x14ac:dyDescent="0.4">
      <c r="M40" s="55"/>
      <c r="N40" s="55"/>
      <c r="O40" s="56" t="s">
        <v>24</v>
      </c>
      <c r="Q40" s="57"/>
      <c r="R40" s="57">
        <v>-4.9897225077081192E-2</v>
      </c>
      <c r="S40" s="57">
        <v>1.719492480282173E-2</v>
      </c>
      <c r="T40" s="57">
        <v>1.7382986443249662E-2</v>
      </c>
      <c r="U40" s="57">
        <v>1.1814073595868302E-2</v>
      </c>
    </row>
    <row r="41" spans="1:25" ht="21" x14ac:dyDescent="0.4">
      <c r="M41" s="55"/>
      <c r="N41" s="55"/>
      <c r="O41" s="56" t="s">
        <v>25</v>
      </c>
      <c r="Q41" s="58"/>
      <c r="R41" s="57">
        <v>-5.2869511914795796E-2</v>
      </c>
      <c r="S41" s="57">
        <v>1.7651778550414551E-2</v>
      </c>
      <c r="T41" s="57">
        <v>3.1798819221283907E-2</v>
      </c>
      <c r="U41" s="57">
        <v>2.964642152677599E-2</v>
      </c>
    </row>
    <row r="42" spans="1:25" ht="21" x14ac:dyDescent="0.4">
      <c r="M42" s="55"/>
      <c r="N42" s="55"/>
      <c r="O42" s="56" t="s">
        <v>26</v>
      </c>
      <c r="Q42" s="58"/>
      <c r="R42" s="57">
        <v>0.46548947591467721</v>
      </c>
      <c r="S42" s="57">
        <v>0.35527488855869238</v>
      </c>
      <c r="T42" s="57">
        <v>0.36343427357605096</v>
      </c>
      <c r="U42" s="57">
        <v>0.27593628136266646</v>
      </c>
    </row>
    <row r="43" spans="1:25" ht="21" x14ac:dyDescent="0.4">
      <c r="M43" s="55"/>
      <c r="N43" s="55"/>
      <c r="O43" s="56" t="s">
        <v>27</v>
      </c>
      <c r="Q43" s="58"/>
      <c r="R43" s="58">
        <v>5277</v>
      </c>
      <c r="S43" s="58">
        <v>8660</v>
      </c>
      <c r="T43" s="58">
        <v>13567</v>
      </c>
      <c r="U43" s="58">
        <v>24197</v>
      </c>
    </row>
    <row r="44" spans="1:25" ht="21" x14ac:dyDescent="0.4">
      <c r="M44" s="55"/>
      <c r="N44" s="55"/>
      <c r="O44" s="56" t="s">
        <v>28</v>
      </c>
      <c r="Q44" s="58"/>
      <c r="R44" s="57">
        <v>0.54035880774120637</v>
      </c>
      <c r="S44" s="57">
        <v>0.40959220736338114</v>
      </c>
      <c r="T44" s="57">
        <v>0.42207182729832532</v>
      </c>
      <c r="U44" s="57">
        <v>0.31710323007872859</v>
      </c>
    </row>
    <row r="45" spans="1:25" ht="21" x14ac:dyDescent="0.4">
      <c r="M45" s="55"/>
      <c r="N45" s="55"/>
      <c r="O45" s="56" t="s">
        <v>29</v>
      </c>
      <c r="Q45" s="58"/>
      <c r="R45" s="57">
        <v>0.47862692470687945</v>
      </c>
      <c r="S45" s="57">
        <v>0.36617137196631988</v>
      </c>
      <c r="T45" s="57">
        <v>0.37943980635281332</v>
      </c>
      <c r="U45" s="57">
        <v>0.28772717239349571</v>
      </c>
    </row>
    <row r="46" spans="1:25" ht="21" x14ac:dyDescent="0.4">
      <c r="M46" s="55"/>
      <c r="N46" s="55"/>
      <c r="O46" s="56" t="s">
        <v>30</v>
      </c>
      <c r="Q46" s="58"/>
      <c r="R46" s="57">
        <v>0.46548947591467721</v>
      </c>
      <c r="S46" s="57">
        <v>0.35527488855869238</v>
      </c>
      <c r="T46" s="57">
        <v>0.36343427357605096</v>
      </c>
      <c r="U46" s="57">
        <v>0.27593628136266646</v>
      </c>
    </row>
    <row r="47" spans="1:25" ht="28.8" x14ac:dyDescent="0.55000000000000004">
      <c r="A47" s="59"/>
      <c r="B47" s="59" t="s">
        <v>31</v>
      </c>
      <c r="C47" s="59"/>
      <c r="D47" s="59"/>
      <c r="E47" s="59"/>
      <c r="F47" s="59"/>
      <c r="G47" s="59"/>
      <c r="H47" s="59"/>
      <c r="I47" s="59"/>
      <c r="J47" s="59"/>
      <c r="K47" s="59"/>
      <c r="L47" s="59"/>
      <c r="N47" s="55"/>
      <c r="R47" s="56"/>
    </row>
    <row r="52" spans="15:21" ht="21" x14ac:dyDescent="0.4">
      <c r="O52" s="56"/>
      <c r="R52" s="60"/>
      <c r="S52" s="60"/>
      <c r="T52" s="60"/>
      <c r="U52" s="60"/>
    </row>
    <row r="53" spans="15:21" ht="21" x14ac:dyDescent="0.4">
      <c r="O53" s="56"/>
    </row>
    <row r="54" spans="15:21" ht="21" x14ac:dyDescent="0.4">
      <c r="O54" s="56"/>
      <c r="R54" s="60"/>
      <c r="S54" s="60"/>
      <c r="T54" s="60"/>
      <c r="U54" s="60"/>
    </row>
    <row r="55" spans="15:21" ht="21" x14ac:dyDescent="0.4">
      <c r="O55" s="56"/>
      <c r="R55" s="60"/>
      <c r="S55" s="60"/>
      <c r="T55" s="60"/>
      <c r="U55" s="60"/>
    </row>
    <row r="56" spans="15:21" ht="21" x14ac:dyDescent="0.4">
      <c r="O56" s="56"/>
      <c r="R56" s="60"/>
      <c r="S56" s="60"/>
      <c r="T56" s="60"/>
      <c r="U56" s="60"/>
    </row>
    <row r="57" spans="15:21" ht="21" x14ac:dyDescent="0.4">
      <c r="R57" s="56"/>
    </row>
    <row r="58" spans="15:21" ht="21" x14ac:dyDescent="0.4">
      <c r="R58" s="56"/>
    </row>
    <row r="59" spans="15:21" ht="21" x14ac:dyDescent="0.4">
      <c r="R59" s="56"/>
    </row>
    <row r="68" spans="1:24" ht="36.6" x14ac:dyDescent="0.7">
      <c r="A68" s="50"/>
      <c r="B68" s="50" t="s">
        <v>32</v>
      </c>
      <c r="C68" s="50"/>
      <c r="D68" s="50"/>
      <c r="E68" s="50"/>
      <c r="F68" s="50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</row>
    <row r="69" spans="1:24" x14ac:dyDescent="0.3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</row>
    <row r="100" spans="1:24" ht="24" customHeight="1" x14ac:dyDescent="0.3"/>
    <row r="101" spans="1:24" hidden="1" outlineLevel="1" x14ac:dyDescent="0.3"/>
    <row r="102" spans="1:24" ht="16.2" customHeight="1" collapsed="1" x14ac:dyDescent="0.3"/>
    <row r="105" spans="1:24" ht="46.2" x14ac:dyDescent="0.85">
      <c r="A105" s="17"/>
      <c r="B105" s="61" t="s">
        <v>50</v>
      </c>
      <c r="C105" s="61"/>
      <c r="D105" s="61"/>
      <c r="E105" s="61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</row>
    <row r="123" spans="1:24" ht="28.8" x14ac:dyDescent="0.55000000000000004">
      <c r="A123" s="62"/>
      <c r="B123" s="62"/>
      <c r="C123" s="62" t="s">
        <v>33</v>
      </c>
      <c r="D123" s="62"/>
      <c r="E123" s="62"/>
      <c r="F123" s="62"/>
      <c r="G123" s="62"/>
      <c r="H123" s="62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</row>
    <row r="127" spans="1:24" x14ac:dyDescent="0.3">
      <c r="B127" s="63" t="s">
        <v>8</v>
      </c>
      <c r="C127" s="64"/>
    </row>
    <row r="128" spans="1:24" x14ac:dyDescent="0.3">
      <c r="B128" s="63"/>
      <c r="C128" s="64"/>
    </row>
    <row r="129" spans="1:23" x14ac:dyDescent="0.3">
      <c r="B129" s="63" t="s">
        <v>8</v>
      </c>
      <c r="C129" s="64"/>
    </row>
    <row r="130" spans="1:23" x14ac:dyDescent="0.3">
      <c r="B130" s="63"/>
      <c r="C130" s="64"/>
    </row>
    <row r="131" spans="1:23" x14ac:dyDescent="0.3">
      <c r="B131" s="63" t="s">
        <v>8</v>
      </c>
    </row>
    <row r="132" spans="1:23" x14ac:dyDescent="0.3">
      <c r="B132" s="63"/>
    </row>
    <row r="133" spans="1:23" x14ac:dyDescent="0.3">
      <c r="B133" s="63" t="s">
        <v>8</v>
      </c>
    </row>
    <row r="139" spans="1:23" ht="33.6" x14ac:dyDescent="0.65">
      <c r="A139" s="65"/>
      <c r="B139" s="66"/>
      <c r="C139" s="66" t="s">
        <v>34</v>
      </c>
      <c r="D139" s="66"/>
      <c r="E139" s="66"/>
      <c r="F139" s="66"/>
      <c r="G139" s="66"/>
      <c r="H139" s="66"/>
      <c r="I139" s="66"/>
      <c r="J139" s="53"/>
      <c r="K139" s="53"/>
      <c r="L139" s="53"/>
      <c r="M139" s="53"/>
      <c r="N139" s="65"/>
      <c r="O139" s="65"/>
      <c r="P139" s="65"/>
      <c r="Q139" s="65"/>
      <c r="R139" s="65"/>
      <c r="S139" s="65"/>
      <c r="T139" s="65"/>
      <c r="U139" s="65"/>
      <c r="V139" s="65"/>
      <c r="W139" s="65"/>
    </row>
    <row r="172" spans="1:23" ht="36.6" x14ac:dyDescent="0.7">
      <c r="A172" s="67"/>
      <c r="B172" s="67"/>
      <c r="C172" s="67" t="s">
        <v>35</v>
      </c>
      <c r="D172" s="67"/>
      <c r="E172" s="67"/>
      <c r="F172" s="67"/>
      <c r="G172" s="67"/>
      <c r="H172" s="67"/>
      <c r="I172" s="67"/>
      <c r="J172" s="67"/>
      <c r="K172" s="67"/>
      <c r="L172" s="67"/>
      <c r="M172" s="67"/>
      <c r="N172" s="67"/>
      <c r="O172" s="67"/>
      <c r="P172" s="67"/>
      <c r="Q172" s="67"/>
      <c r="R172" s="67"/>
      <c r="S172" s="67"/>
      <c r="T172" s="67"/>
      <c r="U172" s="67"/>
      <c r="V172" s="67"/>
      <c r="W172" s="67"/>
    </row>
    <row r="175" spans="1:23" x14ac:dyDescent="0.3">
      <c r="D175" s="68"/>
      <c r="E175" s="69" t="s">
        <v>36</v>
      </c>
      <c r="F175" s="69"/>
      <c r="G175" s="69">
        <v>34327.559552444261</v>
      </c>
      <c r="H175" s="68"/>
    </row>
    <row r="176" spans="1:23" x14ac:dyDescent="0.3">
      <c r="D176" s="68"/>
      <c r="E176" s="69"/>
      <c r="F176" s="69"/>
      <c r="G176" s="69"/>
      <c r="H176" s="68"/>
    </row>
    <row r="177" spans="4:8" x14ac:dyDescent="0.3">
      <c r="D177" s="68"/>
      <c r="E177" s="69"/>
      <c r="F177" s="69"/>
      <c r="G177" s="69"/>
      <c r="H177" s="68"/>
    </row>
    <row r="178" spans="4:8" x14ac:dyDescent="0.3">
      <c r="D178" s="68"/>
      <c r="E178" s="69" t="s">
        <v>37</v>
      </c>
      <c r="F178" s="69"/>
      <c r="G178" s="69">
        <v>57484.837837486077</v>
      </c>
      <c r="H178" s="68"/>
    </row>
    <row r="179" spans="4:8" x14ac:dyDescent="0.3">
      <c r="D179" s="68"/>
      <c r="E179" s="69"/>
      <c r="F179" s="69"/>
      <c r="G179" s="69"/>
      <c r="H179" s="68"/>
    </row>
    <row r="180" spans="4:8" x14ac:dyDescent="0.3">
      <c r="D180" s="68"/>
      <c r="E180" s="69"/>
      <c r="F180" s="69"/>
      <c r="G180" s="69"/>
      <c r="H180" s="68"/>
    </row>
    <row r="181" spans="4:8" x14ac:dyDescent="0.3">
      <c r="D181" s="68"/>
      <c r="E181" s="69"/>
      <c r="F181" s="69"/>
      <c r="G181" s="69"/>
      <c r="H181" s="68"/>
    </row>
    <row r="182" spans="4:8" ht="18" x14ac:dyDescent="0.35">
      <c r="D182" s="68"/>
      <c r="E182" s="70" t="s">
        <v>38</v>
      </c>
      <c r="F182" s="70"/>
      <c r="G182" s="70">
        <v>91812.397389930338</v>
      </c>
      <c r="H182" s="68"/>
    </row>
    <row r="183" spans="4:8" x14ac:dyDescent="0.3">
      <c r="D183" s="68"/>
      <c r="E183" s="69"/>
      <c r="F183" s="69"/>
      <c r="G183" s="69"/>
      <c r="H183" s="68"/>
    </row>
    <row r="184" spans="4:8" x14ac:dyDescent="0.3">
      <c r="D184" s="68"/>
      <c r="E184" s="68"/>
      <c r="F184" s="68"/>
      <c r="G184" s="69"/>
      <c r="H184" s="68"/>
    </row>
    <row r="185" spans="4:8" x14ac:dyDescent="0.3">
      <c r="D185" s="68"/>
      <c r="E185" s="68"/>
      <c r="F185" s="68"/>
      <c r="G185" s="69"/>
      <c r="H185" s="68"/>
    </row>
    <row r="186" spans="4:8" ht="18" x14ac:dyDescent="0.35">
      <c r="D186" s="71"/>
      <c r="E186" s="71"/>
      <c r="F186" s="71"/>
      <c r="G186" s="70"/>
      <c r="H186" s="71"/>
    </row>
    <row r="187" spans="4:8" ht="18" x14ac:dyDescent="0.35">
      <c r="D187" s="71"/>
      <c r="E187" s="70" t="s">
        <v>39</v>
      </c>
      <c r="F187" s="70"/>
      <c r="G187" s="70">
        <v>91812.397389930338</v>
      </c>
      <c r="H187" s="71"/>
    </row>
    <row r="188" spans="4:8" ht="18" x14ac:dyDescent="0.35">
      <c r="D188" s="71"/>
      <c r="E188" s="70" t="s">
        <v>40</v>
      </c>
      <c r="F188" s="70"/>
      <c r="G188" s="70">
        <v>786</v>
      </c>
      <c r="H188" s="71"/>
    </row>
    <row r="189" spans="4:8" ht="18" x14ac:dyDescent="0.35">
      <c r="D189" s="71"/>
      <c r="E189" s="70" t="s">
        <v>41</v>
      </c>
      <c r="F189" s="70"/>
      <c r="G189" s="70">
        <v>345.67</v>
      </c>
      <c r="H189" s="71"/>
    </row>
    <row r="190" spans="4:8" ht="18" x14ac:dyDescent="0.35">
      <c r="D190" s="71"/>
      <c r="E190" s="70" t="s">
        <v>42</v>
      </c>
      <c r="F190" s="70"/>
      <c r="G190" s="70">
        <v>92252.72738993034</v>
      </c>
      <c r="H190" s="71"/>
    </row>
    <row r="191" spans="4:8" ht="18" x14ac:dyDescent="0.35">
      <c r="D191" s="71"/>
      <c r="E191" s="70" t="s">
        <v>43</v>
      </c>
      <c r="F191" s="70" t="s">
        <v>44</v>
      </c>
      <c r="G191" s="70">
        <v>965</v>
      </c>
      <c r="H191" s="71"/>
    </row>
    <row r="192" spans="4:8" ht="18" x14ac:dyDescent="0.35">
      <c r="D192" s="71"/>
      <c r="E192" s="70" t="s">
        <v>45</v>
      </c>
      <c r="F192" s="70"/>
      <c r="G192" s="70">
        <v>95.598681233088442</v>
      </c>
      <c r="H192" s="71"/>
    </row>
    <row r="193" spans="2:19" ht="18" x14ac:dyDescent="0.35">
      <c r="D193" s="71"/>
      <c r="E193" s="70" t="s">
        <v>46</v>
      </c>
      <c r="F193" s="70"/>
      <c r="G193" s="70">
        <v>292</v>
      </c>
      <c r="H193" s="71"/>
    </row>
    <row r="194" spans="2:19" ht="18" x14ac:dyDescent="0.35">
      <c r="D194" s="71"/>
      <c r="E194" s="70" t="s">
        <v>47</v>
      </c>
      <c r="F194" s="70"/>
      <c r="G194" s="72">
        <v>-0.67260725605106697</v>
      </c>
      <c r="H194" s="71"/>
    </row>
    <row r="195" spans="2:19" ht="18" x14ac:dyDescent="0.35">
      <c r="D195" s="71"/>
      <c r="E195" s="71"/>
      <c r="F195" s="71"/>
      <c r="G195" s="71"/>
      <c r="H195" s="71"/>
    </row>
    <row r="196" spans="2:19" ht="18" x14ac:dyDescent="0.35">
      <c r="D196" s="73"/>
      <c r="E196" s="73"/>
      <c r="F196" s="73"/>
      <c r="G196" s="73"/>
      <c r="H196" s="73"/>
    </row>
    <row r="199" spans="2:19" ht="25.8" x14ac:dyDescent="0.5">
      <c r="B199" s="74"/>
      <c r="C199" s="75" t="s">
        <v>48</v>
      </c>
      <c r="D199" s="75"/>
      <c r="E199" s="75"/>
      <c r="F199" s="75"/>
      <c r="G199" s="75"/>
      <c r="H199" s="75"/>
      <c r="I199" s="75"/>
      <c r="J199" s="75"/>
      <c r="K199" s="75"/>
      <c r="L199" s="74"/>
      <c r="M199" s="74"/>
      <c r="N199" s="74"/>
      <c r="O199" s="74"/>
      <c r="P199" s="74"/>
      <c r="Q199" s="74"/>
      <c r="R199" s="74"/>
      <c r="S199" s="74"/>
    </row>
    <row r="200" spans="2:19" ht="25.8" x14ac:dyDescent="0.5">
      <c r="B200" s="74"/>
      <c r="C200" s="75" t="s">
        <v>49</v>
      </c>
      <c r="D200" s="75"/>
      <c r="E200" s="75"/>
      <c r="F200" s="75"/>
      <c r="G200" s="75"/>
      <c r="H200" s="75"/>
      <c r="I200" s="75"/>
      <c r="J200" s="75"/>
      <c r="K200" s="75"/>
      <c r="L200" s="74"/>
      <c r="M200" s="74"/>
      <c r="N200" s="74"/>
      <c r="O200" s="74"/>
      <c r="P200" s="74"/>
      <c r="Q200" s="74"/>
      <c r="R200" s="74"/>
      <c r="S200" s="7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2026-07-21T05:02:59Z</dcterms:created>
  <dcterms:modified xsi:type="dcterms:W3CDTF">2026-07-21T05:11:57Z</dcterms:modified>
</cp:coreProperties>
</file>