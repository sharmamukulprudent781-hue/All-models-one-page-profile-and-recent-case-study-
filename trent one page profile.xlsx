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84" activeTab="6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Sheet1" sheetId="7" r:id="rId7"/>
  </sheets>
  <definedNames>
    <definedName name="UPDATE">'Data Sheet'!$E$1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23" i="2" s="1"/>
  <c r="H12" i="1"/>
  <c r="I12" i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B15" i="1"/>
  <c r="H13" i="1"/>
  <c r="I13" i="1"/>
  <c r="B7" i="1"/>
  <c r="B4" i="1"/>
  <c r="B20" i="2" s="1"/>
  <c r="A1" i="1"/>
  <c r="A1" i="3" s="1"/>
  <c r="E1" i="6"/>
  <c r="H1" i="1" s="1"/>
  <c r="E1" i="2"/>
  <c r="E1" i="3"/>
  <c r="H16" i="2"/>
  <c r="D16" i="2"/>
  <c r="F23" i="2"/>
  <c r="C23" i="2"/>
  <c r="K16" i="2"/>
  <c r="C16" i="2"/>
  <c r="F16" i="2"/>
  <c r="E6" i="1"/>
  <c r="E19" i="1" s="1"/>
  <c r="H23" i="2"/>
  <c r="D23" i="2"/>
  <c r="I6" i="1"/>
  <c r="I19" i="1" s="1"/>
  <c r="J6" i="1"/>
  <c r="J19" i="1"/>
  <c r="K6" i="1"/>
  <c r="K19" i="1" s="1"/>
  <c r="G6" i="1"/>
  <c r="G19" i="1" s="1"/>
  <c r="C6" i="1"/>
  <c r="C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19" i="1" s="1"/>
  <c r="L24" i="1" s="1"/>
  <c r="L4" i="1"/>
  <c r="L23" i="1" s="1"/>
  <c r="A1" i="2"/>
  <c r="A1" i="4" s="1"/>
  <c r="H23" i="1"/>
  <c r="I23" i="1"/>
  <c r="J23" i="1"/>
  <c r="L5" i="1"/>
  <c r="K14" i="1" l="1"/>
  <c r="C14" i="1"/>
  <c r="B23" i="2"/>
  <c r="H14" i="1"/>
  <c r="F20" i="2"/>
  <c r="J16" i="2"/>
  <c r="G24" i="2"/>
  <c r="E24" i="2"/>
  <c r="G13" i="1"/>
  <c r="G14" i="1" s="1"/>
  <c r="D13" i="1"/>
  <c r="E13" i="1" s="1"/>
  <c r="K24" i="1"/>
  <c r="M24" i="1" s="1"/>
  <c r="J23" i="2"/>
  <c r="J24" i="2"/>
  <c r="D24" i="2"/>
  <c r="E14" i="1"/>
  <c r="M11" i="1"/>
  <c r="B14" i="1"/>
  <c r="D14" i="1"/>
  <c r="I16" i="2"/>
  <c r="K24" i="2"/>
  <c r="I24" i="2"/>
  <c r="K23" i="2"/>
  <c r="I14" i="1"/>
  <c r="K25" i="1" s="1"/>
  <c r="M25" i="1" s="1"/>
  <c r="M14" i="1" s="1"/>
  <c r="C24" i="2"/>
  <c r="I23" i="2"/>
  <c r="H24" i="2"/>
  <c r="F24" i="2"/>
  <c r="J25" i="1"/>
  <c r="M9" i="1"/>
  <c r="N9" i="1"/>
  <c r="N8" i="1"/>
  <c r="M8" i="1"/>
  <c r="H25" i="1"/>
  <c r="I25" i="1"/>
  <c r="I20" i="2"/>
  <c r="J24" i="1"/>
  <c r="H20" i="2"/>
  <c r="K23" i="1"/>
  <c r="M23" i="1" s="1"/>
  <c r="M4" i="1" s="1"/>
  <c r="H6" i="1"/>
  <c r="H19" i="1" s="1"/>
  <c r="F6" i="1"/>
  <c r="F19" i="1" s="1"/>
  <c r="H24" i="1" s="1"/>
  <c r="E1" i="4"/>
  <c r="N25" i="1" l="1"/>
  <c r="N14" i="1" s="1"/>
  <c r="N23" i="1"/>
  <c r="N4" i="1" s="1"/>
  <c r="I24" i="1"/>
  <c r="N24" i="1" s="1"/>
  <c r="M6" i="1"/>
  <c r="M10" i="1" s="1"/>
  <c r="M12" i="1" s="1"/>
  <c r="M13" i="1" s="1"/>
  <c r="M15" i="1" s="1"/>
  <c r="N6" i="1" l="1"/>
  <c r="N10" i="1" s="1"/>
  <c r="N12" i="1" s="1"/>
  <c r="N13" i="1" s="1"/>
  <c r="N5" i="1"/>
  <c r="N15" i="1"/>
  <c r="M5" i="1"/>
</calcChain>
</file>

<file path=xl/sharedStrings.xml><?xml version="1.0" encoding="utf-8"?>
<sst xmlns="http://schemas.openxmlformats.org/spreadsheetml/2006/main" count="151" uniqueCount="99">
  <si>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</si>
  <si>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</si>
  <si>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</si>
  <si>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</si>
  <si>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</si>
  <si>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</si>
  <si>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</si>
  <si>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</si>
  <si>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</si>
  <si>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</si>
  <si>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</si>
  <si>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</si>
  <si>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</si>
  <si>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</si>
  <si>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</si>
  <si>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</si>
  <si>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</si>
  <si>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</si>
  <si>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</si>
  <si>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</si>
  <si>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</si>
  <si>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</si>
  <si>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</si>
  <si>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</si>
  <si>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</si>
  <si>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</si>
  <si>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</si>
  <si>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</si>
  <si>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</si>
  <si>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</si>
  <si>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</si>
  <si>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</si>
  <si>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</si>
  <si>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</si>
  <si>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</si>
  <si>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</si>
  <si>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</si>
  <si>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</si>
  <si>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</si>
  <si>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</si>
  <si>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</si>
  <si>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</si>
  <si>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</si>
  <si>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</si>
  <si>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</si>
  <si>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</si>
  <si>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</si>
  <si>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</si>
  <si>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</si>
  <si>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</si>
  <si>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</si>
  <si>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</si>
  <si>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</si>
  <si>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</si>
  <si>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</si>
  <si>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</si>
  <si>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</si>
  <si>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</si>
  <si>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</si>
  <si>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</si>
  <si>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</si>
  <si>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</si>
  <si>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</si>
  <si>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</si>
  <si>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</si>
  <si>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</si>
  <si>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</si>
  <si>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</si>
  <si>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</si>
  <si>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</si>
  <si>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</si>
  <si>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</si>
  <si>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</si>
  <si>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</si>
  <si>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</si>
  <si>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</si>
  <si>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</si>
  <si>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</si>
  <si>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</si>
  <si>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</si>
  <si>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</si>
  <si>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</si>
  <si>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</si>
  <si>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</si>
  <si>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</si>
  <si>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</si>
  <si>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</si>
  <si>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</si>
  <si>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</si>
  <si>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</si>
  <si>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</si>
  <si>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</si>
  <si>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</si>
  <si>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 xml:space="preserve">ITC LIMITED -ONE PAGE PROFILE </t>
  </si>
  <si>
    <t>Company  Matrix</t>
  </si>
  <si>
    <t xml:space="preserve">Company PEEERS Comparison </t>
  </si>
  <si>
    <t xml:space="preserve">RECOMMENDATION </t>
  </si>
  <si>
    <t xml:space="preserve">After reading all the sentiments of the market I hve concluded the </t>
  </si>
  <si>
    <t>to hold this stock because it is not overvalued or not under valued.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</si>
</sst>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42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0" fontId="0" fillId="6" borderId="0" xfId="0" applyFill="1"/>
    <xf numFmtId="0" fontId="0" fillId="0" borderId="0" xfId="0" applyAlignment="1">
      <alignment wrapText="1"/>
    </xf>
    <xf numFmtId="0" fontId="10" fillId="0" borderId="0" xfId="0" applyFont="1"/>
    <xf numFmtId="0" fontId="10" fillId="7" borderId="0" xfId="0" applyFont="1" applyFill="1" applyAlignment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11" fillId="8" borderId="0" xfId="0" applyFont="1" applyFill="1"/>
    <xf numFmtId="0" fontId="0" fillId="8" borderId="0" xfId="0" applyFill="1"/>
    <xf numFmtId="0" fontId="0" fillId="9" borderId="0" xfId="0" applyFill="1"/>
    <xf numFmtId="0" fontId="12" fillId="9" borderId="0" xfId="0" applyFont="1" applyFill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</xdr:row>
      <xdr:rowOff>0</xdr:rowOff>
    </xdr:from>
    <xdr:to>
      <xdr:col>9</xdr:col>
      <xdr:colOff>304800</xdr:colOff>
      <xdr:row>19</xdr:row>
      <xdr:rowOff>121920</xdr:rowOff>
    </xdr:to>
    <xdr:sp macro="" textlink="">
      <xdr:nvSpPr>
        <xdr:cNvPr id="1027" name="AutoShape 3" descr="ITC Limited - Wikipedia"/>
        <xdr:cNvSpPr>
          <a:spLocks noChangeAspect="1" noChangeArrowheads="1"/>
        </xdr:cNvSpPr>
      </xdr:nvSpPr>
      <xdr:spPr bwMode="auto">
        <a:xfrm>
          <a:off x="678942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121920</xdr:rowOff>
    </xdr:to>
    <xdr:sp macro="" textlink="">
      <xdr:nvSpPr>
        <xdr:cNvPr id="1028" name="AutoShape 4" descr="ITC Limited - Wikipedia"/>
        <xdr:cNvSpPr>
          <a:spLocks noChangeAspect="1" noChangeArrowheads="1"/>
        </xdr:cNvSpPr>
      </xdr:nvSpPr>
      <xdr:spPr bwMode="auto">
        <a:xfrm>
          <a:off x="3741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350520</xdr:colOff>
      <xdr:row>8</xdr:row>
      <xdr:rowOff>0</xdr:rowOff>
    </xdr:to>
    <xdr:pic>
      <xdr:nvPicPr>
        <xdr:cNvPr id="10" name="Picture 9" descr="ITC Limited - Wiki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6012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381000</xdr:colOff>
      <xdr:row>4</xdr:row>
      <xdr:rowOff>121920</xdr:rowOff>
    </xdr:from>
    <xdr:to>
      <xdr:col>8</xdr:col>
      <xdr:colOff>0</xdr:colOff>
      <xdr:row>9</xdr:row>
      <xdr:rowOff>0</xdr:rowOff>
    </xdr:to>
    <xdr:sp macro="" textlink="">
      <xdr:nvSpPr>
        <xdr:cNvPr id="2" name="Rectangle 1"/>
        <xdr:cNvSpPr/>
      </xdr:nvSpPr>
      <xdr:spPr>
        <a:xfrm>
          <a:off x="990600" y="853440"/>
          <a:ext cx="4983480" cy="7924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=</a:t>
          </a:r>
        </a:p>
      </xdr:txBody>
    </xdr:sp>
    <xdr:clientData/>
  </xdr:twoCellAnchor>
  <xdr:twoCellAnchor>
    <xdr:from>
      <xdr:col>1</xdr:col>
      <xdr:colOff>381000</xdr:colOff>
      <xdr:row>4</xdr:row>
      <xdr:rowOff>121920</xdr:rowOff>
    </xdr:from>
    <xdr:to>
      <xdr:col>8</xdr:col>
      <xdr:colOff>0</xdr:colOff>
      <xdr:row>9</xdr:row>
      <xdr:rowOff>0</xdr:rowOff>
    </xdr:to>
    <xdr:sp macro="" textlink="">
      <xdr:nvSpPr>
        <xdr:cNvPr id="1035" name="Text Box 11"/>
        <xdr:cNvSpPr txBox="1">
          <a:spLocks noChangeArrowheads="1"/>
        </xdr:cNvSpPr>
      </xdr:nvSpPr>
      <xdr:spPr bwMode="auto">
        <a:xfrm>
          <a:off x="990600" y="853440"/>
          <a:ext cx="4983480" cy="7924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ITC Limited is an Indian conglomerate, headquartered in Kolkata. It has a presence across six business segments, namely FMCG, agribusiness, information technology, paper products, and packaging. It generates a plurality of its revenue from tobacco products</a:t>
          </a:r>
        </a:p>
      </xdr:txBody>
    </xdr:sp>
    <xdr:clientData/>
  </xdr:twoCellAnchor>
  <xdr:twoCellAnchor>
    <xdr:from>
      <xdr:col>0</xdr:col>
      <xdr:colOff>53340</xdr:colOff>
      <xdr:row>11</xdr:row>
      <xdr:rowOff>106680</xdr:rowOff>
    </xdr:from>
    <xdr:to>
      <xdr:col>3</xdr:col>
      <xdr:colOff>304800</xdr:colOff>
      <xdr:row>18</xdr:row>
      <xdr:rowOff>114300</xdr:rowOff>
    </xdr:to>
    <xdr:sp macro="" textlink="">
      <xdr:nvSpPr>
        <xdr:cNvPr id="6" name="Rectangle 5"/>
        <xdr:cNvSpPr/>
      </xdr:nvSpPr>
      <xdr:spPr>
        <a:xfrm>
          <a:off x="53340" y="2293620"/>
          <a:ext cx="3078480" cy="1394460"/>
        </a:xfrm>
        <a:prstGeom prst="rect">
          <a:avLst/>
        </a:prstGeom>
        <a:ln>
          <a:solidFill>
            <a:schemeClr val="accent6">
              <a:lumMod val="40000"/>
              <a:lumOff val="6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*Market</a:t>
          </a:r>
          <a:r>
            <a:rPr lang="en-US" sz="1100" baseline="0"/>
            <a:t> Caps-5000cr</a:t>
          </a:r>
        </a:p>
        <a:p>
          <a:pPr algn="l"/>
          <a:r>
            <a:rPr lang="en-US" sz="1100" baseline="0"/>
            <a:t>*P/E-1.5x</a:t>
          </a:r>
        </a:p>
        <a:p>
          <a:pPr algn="l"/>
          <a:r>
            <a:rPr lang="en-US" sz="1100"/>
            <a:t>*Cmp-7687</a:t>
          </a:r>
        </a:p>
        <a:p>
          <a:pPr algn="l"/>
          <a:r>
            <a:rPr lang="en-US" sz="1100"/>
            <a:t>*P/B-1.8x</a:t>
          </a:r>
        </a:p>
        <a:p>
          <a:pPr algn="l"/>
          <a:r>
            <a:rPr lang="en-US" sz="1100"/>
            <a:t>*Debt-3000cr</a:t>
          </a:r>
        </a:p>
        <a:p>
          <a:pPr algn="l"/>
          <a:r>
            <a:rPr lang="en-US" sz="1100"/>
            <a:t>*Cash</a:t>
          </a:r>
          <a:r>
            <a:rPr lang="en-US" sz="1100" baseline="0"/>
            <a:t> -5000000cr</a:t>
          </a:r>
        </a:p>
        <a:p>
          <a:pPr algn="l"/>
          <a:r>
            <a:rPr lang="en-US" sz="1100" baseline="0"/>
            <a:t>*EV-567898cr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23</xdr:row>
          <xdr:rowOff>15240</xdr:rowOff>
        </xdr:from>
        <xdr:to>
          <xdr:col>11</xdr:col>
          <xdr:colOff>137160</xdr:colOff>
          <xdr:row>30</xdr:row>
          <xdr:rowOff>7620</xdr:rowOff>
        </xdr:to>
        <xdr:pic>
          <xdr:nvPicPr>
            <xdr:cNvPr id="12" name="Picture 11"/>
            <xdr:cNvPicPr>
              <a:picLocks noChangeAspect="1" noChangeArrowheads="1"/>
              <a:extLst>
                <a:ext uri="{84589F7E-364E-4C9E-8A38-B11213B215E9}">
                  <a14:cameraTool cellRange="#REF!" spid="_x0000_s103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620" y="4716780"/>
              <a:ext cx="7932420" cy="12725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TRENT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1686.17</v>
      </c>
      <c r="C4" s="1">
        <f>'Data Sheet'!C17</f>
        <v>1812.44</v>
      </c>
      <c r="D4" s="1">
        <f>'Data Sheet'!D17</f>
        <v>2157.46</v>
      </c>
      <c r="E4" s="1">
        <f>'Data Sheet'!E17</f>
        <v>2630.24</v>
      </c>
      <c r="F4" s="1">
        <f>'Data Sheet'!F17</f>
        <v>3485.98</v>
      </c>
      <c r="G4" s="1">
        <f>'Data Sheet'!G17</f>
        <v>2592.96</v>
      </c>
      <c r="H4" s="1">
        <f>'Data Sheet'!H17</f>
        <v>4498.0200000000004</v>
      </c>
      <c r="I4" s="1">
        <f>'Data Sheet'!I17</f>
        <v>8242.02</v>
      </c>
      <c r="J4" s="1">
        <f>'Data Sheet'!J17</f>
        <v>12375.11</v>
      </c>
      <c r="K4" s="1">
        <f>'Data Sheet'!K17</f>
        <v>17134.61</v>
      </c>
      <c r="L4" s="1">
        <f>SUM(Quarters!H4:K4)</f>
        <v>19263.16</v>
      </c>
      <c r="M4" s="1">
        <f>$K4+M23*K4</f>
        <v>26760.352991836044</v>
      </c>
      <c r="N4" s="1">
        <f>$K4+N23*L4</f>
        <v>22795.20111946802</v>
      </c>
    </row>
    <row r="5" spans="1:14" x14ac:dyDescent="0.3">
      <c r="A5" s="6" t="s">
        <v>7</v>
      </c>
      <c r="B5" s="9">
        <f>SUM('Data Sheet'!B18,'Data Sheet'!B20:B24, -1*'Data Sheet'!B19)</f>
        <v>1596.41</v>
      </c>
      <c r="C5" s="9">
        <f>SUM('Data Sheet'!C18,'Data Sheet'!C20:C24, -1*'Data Sheet'!C19)</f>
        <v>1678.91</v>
      </c>
      <c r="D5" s="9">
        <f>SUM('Data Sheet'!D18,'Data Sheet'!D20:D24, -1*'Data Sheet'!D19)</f>
        <v>1948.9599999999998</v>
      </c>
      <c r="E5" s="9">
        <f>SUM('Data Sheet'!E18,'Data Sheet'!E20:E24, -1*'Data Sheet'!E19)</f>
        <v>2389.6</v>
      </c>
      <c r="F5" s="9">
        <f>SUM('Data Sheet'!F18,'Data Sheet'!F20:F24, -1*'Data Sheet'!F19)</f>
        <v>2957.0100000000007</v>
      </c>
      <c r="G5" s="9">
        <f>SUM('Data Sheet'!G18,'Data Sheet'!G20:G24, -1*'Data Sheet'!G19)</f>
        <v>2479.09</v>
      </c>
      <c r="H5" s="9">
        <f>SUM('Data Sheet'!H18,'Data Sheet'!H20:H24, -1*'Data Sheet'!H19)</f>
        <v>3903.2999999999993</v>
      </c>
      <c r="I5" s="9">
        <f>SUM('Data Sheet'!I18,'Data Sheet'!I20:I24, -1*'Data Sheet'!I19)</f>
        <v>7127.869999999999</v>
      </c>
      <c r="J5" s="9">
        <f>SUM('Data Sheet'!J18,'Data Sheet'!J20:J24, -1*'Data Sheet'!J19)</f>
        <v>10404.42</v>
      </c>
      <c r="K5" s="9">
        <f>SUM('Data Sheet'!K18,'Data Sheet'!K20:K24, -1*'Data Sheet'!K19)</f>
        <v>14314.65</v>
      </c>
      <c r="L5" s="9">
        <f>SUM(Quarters!H5:K5)</f>
        <v>15867.339999999998</v>
      </c>
      <c r="M5" s="9">
        <f t="shared" ref="M5:N5" si="0">M4-M6</f>
        <v>22042.884938996496</v>
      </c>
      <c r="N5" s="9">
        <f t="shared" si="0"/>
        <v>19648.690860856255</v>
      </c>
    </row>
    <row r="6" spans="1:14" s="8" customFormat="1" x14ac:dyDescent="0.3">
      <c r="A6" s="8" t="s">
        <v>8</v>
      </c>
      <c r="B6" s="1">
        <f>B4-B5</f>
        <v>89.759999999999991</v>
      </c>
      <c r="C6" s="1">
        <f t="shared" ref="C6:K6" si="1">C4-C5</f>
        <v>133.52999999999997</v>
      </c>
      <c r="D6" s="1">
        <f t="shared" si="1"/>
        <v>208.50000000000023</v>
      </c>
      <c r="E6" s="1">
        <f t="shared" si="1"/>
        <v>240.63999999999987</v>
      </c>
      <c r="F6" s="1">
        <f t="shared" si="1"/>
        <v>528.96999999999935</v>
      </c>
      <c r="G6" s="1">
        <f t="shared" si="1"/>
        <v>113.86999999999989</v>
      </c>
      <c r="H6" s="1">
        <f t="shared" si="1"/>
        <v>594.72000000000116</v>
      </c>
      <c r="I6" s="1">
        <f t="shared" si="1"/>
        <v>1114.1500000000015</v>
      </c>
      <c r="J6" s="1">
        <f t="shared" si="1"/>
        <v>1970.6900000000005</v>
      </c>
      <c r="K6" s="1">
        <f t="shared" si="1"/>
        <v>2819.9600000000009</v>
      </c>
      <c r="L6" s="1">
        <f>SUM(Quarters!H6:K6)</f>
        <v>3395.8199999999997</v>
      </c>
      <c r="M6" s="1">
        <f>M4*M24</f>
        <v>4717.4680528395484</v>
      </c>
      <c r="N6" s="1">
        <f>N4*N24</f>
        <v>3146.5102586117637</v>
      </c>
    </row>
    <row r="7" spans="1:14" x14ac:dyDescent="0.3">
      <c r="A7" s="6" t="s">
        <v>9</v>
      </c>
      <c r="B7" s="9">
        <f>'Data Sheet'!B25</f>
        <v>86.44</v>
      </c>
      <c r="C7" s="9">
        <f>'Data Sheet'!C25</f>
        <v>81.31</v>
      </c>
      <c r="D7" s="9">
        <f>'Data Sheet'!D25</f>
        <v>27.47</v>
      </c>
      <c r="E7" s="9">
        <f>'Data Sheet'!E25</f>
        <v>30.14</v>
      </c>
      <c r="F7" s="9">
        <f>'Data Sheet'!F25</f>
        <v>146.63</v>
      </c>
      <c r="G7" s="9">
        <f>'Data Sheet'!G25</f>
        <v>199.4</v>
      </c>
      <c r="H7" s="9">
        <f>'Data Sheet'!H25</f>
        <v>152.16</v>
      </c>
      <c r="I7" s="9">
        <f>'Data Sheet'!I25</f>
        <v>340.6</v>
      </c>
      <c r="J7" s="9">
        <f>'Data Sheet'!J25</f>
        <v>988.91</v>
      </c>
      <c r="K7" s="9">
        <f>'Data Sheet'!K25</f>
        <v>305.06</v>
      </c>
      <c r="L7" s="9">
        <f>SUM(Quarters!H7:K7)</f>
        <v>156.24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38.590000000000003</v>
      </c>
      <c r="C8" s="9">
        <f>'Data Sheet'!C26</f>
        <v>41.29</v>
      </c>
      <c r="D8" s="9">
        <f>'Data Sheet'!D26</f>
        <v>45.53</v>
      </c>
      <c r="E8" s="9">
        <f>'Data Sheet'!E26</f>
        <v>51.67</v>
      </c>
      <c r="F8" s="9">
        <f>'Data Sheet'!F26</f>
        <v>247.24</v>
      </c>
      <c r="G8" s="9">
        <f>'Data Sheet'!G26</f>
        <v>257.3</v>
      </c>
      <c r="H8" s="9">
        <f>'Data Sheet'!H26</f>
        <v>310.82</v>
      </c>
      <c r="I8" s="9">
        <f>'Data Sheet'!I26</f>
        <v>493.69</v>
      </c>
      <c r="J8" s="9">
        <f>'Data Sheet'!J26</f>
        <v>671.11</v>
      </c>
      <c r="K8" s="9">
        <f>'Data Sheet'!K26</f>
        <v>895.18</v>
      </c>
      <c r="L8" s="9">
        <f>SUM(Quarters!H8:K8)</f>
        <v>1256.5800000000002</v>
      </c>
      <c r="M8" s="9">
        <f>+$L8</f>
        <v>1256.5800000000002</v>
      </c>
      <c r="N8" s="9">
        <f>+$L8</f>
        <v>1256.5800000000002</v>
      </c>
    </row>
    <row r="9" spans="1:14" x14ac:dyDescent="0.3">
      <c r="A9" s="6" t="s">
        <v>11</v>
      </c>
      <c r="B9" s="9">
        <f>'Data Sheet'!B27</f>
        <v>47.73</v>
      </c>
      <c r="C9" s="9">
        <f>'Data Sheet'!C27</f>
        <v>45.55</v>
      </c>
      <c r="D9" s="9">
        <f>'Data Sheet'!D27</f>
        <v>43.78</v>
      </c>
      <c r="E9" s="9">
        <f>'Data Sheet'!E27</f>
        <v>50.64</v>
      </c>
      <c r="F9" s="9">
        <f>'Data Sheet'!F27</f>
        <v>263.37</v>
      </c>
      <c r="G9" s="9">
        <f>'Data Sheet'!G27</f>
        <v>260.79000000000002</v>
      </c>
      <c r="H9" s="9">
        <f>'Data Sheet'!H27</f>
        <v>324.83999999999997</v>
      </c>
      <c r="I9" s="9">
        <f>'Data Sheet'!I27</f>
        <v>408.99</v>
      </c>
      <c r="J9" s="9">
        <f>'Data Sheet'!J27</f>
        <v>367.66</v>
      </c>
      <c r="K9" s="9">
        <f>'Data Sheet'!K27</f>
        <v>200.1</v>
      </c>
      <c r="L9" s="9">
        <f>SUM(Quarters!H9:K9)</f>
        <v>162.12</v>
      </c>
      <c r="M9" s="9">
        <f>+$L9</f>
        <v>162.12</v>
      </c>
      <c r="N9" s="9">
        <f>+$L9</f>
        <v>162.12</v>
      </c>
    </row>
    <row r="10" spans="1:14" x14ac:dyDescent="0.3">
      <c r="A10" s="6" t="s">
        <v>12</v>
      </c>
      <c r="B10" s="9">
        <f>'Data Sheet'!B28</f>
        <v>89.88</v>
      </c>
      <c r="C10" s="9">
        <f>'Data Sheet'!C28</f>
        <v>128</v>
      </c>
      <c r="D10" s="9">
        <f>'Data Sheet'!D28</f>
        <v>146.66</v>
      </c>
      <c r="E10" s="9">
        <f>'Data Sheet'!E28</f>
        <v>168.47</v>
      </c>
      <c r="F10" s="9">
        <f>'Data Sheet'!F28</f>
        <v>164.99</v>
      </c>
      <c r="G10" s="9">
        <f>'Data Sheet'!G28</f>
        <v>-204.82</v>
      </c>
      <c r="H10" s="9">
        <f>'Data Sheet'!H28</f>
        <v>111.22</v>
      </c>
      <c r="I10" s="9">
        <f>'Data Sheet'!I28</f>
        <v>552.07000000000005</v>
      </c>
      <c r="J10" s="9">
        <f>'Data Sheet'!J28</f>
        <v>1920.83</v>
      </c>
      <c r="K10" s="9">
        <f>'Data Sheet'!K28</f>
        <v>2029.74</v>
      </c>
      <c r="L10" s="9">
        <f>SUM(Quarters!H10:K10)</f>
        <v>2133.36</v>
      </c>
      <c r="M10" s="9">
        <f>M6+M7-SUM(M8:M9)</f>
        <v>3298.7680528395481</v>
      </c>
      <c r="N10" s="9">
        <f>N6+N7-SUM(N8:N9)</f>
        <v>1727.8102586117634</v>
      </c>
    </row>
    <row r="11" spans="1:14" x14ac:dyDescent="0.3">
      <c r="A11" s="6" t="s">
        <v>13</v>
      </c>
      <c r="B11" s="9">
        <f>'Data Sheet'!B29</f>
        <v>34.71</v>
      </c>
      <c r="C11" s="9">
        <f>'Data Sheet'!C29</f>
        <v>43.05</v>
      </c>
      <c r="D11" s="9">
        <f>'Data Sheet'!D29</f>
        <v>59.62</v>
      </c>
      <c r="E11" s="9">
        <f>'Data Sheet'!E29</f>
        <v>73.61</v>
      </c>
      <c r="F11" s="9">
        <f>'Data Sheet'!F29</f>
        <v>59.01</v>
      </c>
      <c r="G11" s="9">
        <f>'Data Sheet'!G29</f>
        <v>-23.69</v>
      </c>
      <c r="H11" s="9">
        <f>'Data Sheet'!H29</f>
        <v>76.62</v>
      </c>
      <c r="I11" s="9">
        <f>'Data Sheet'!I29</f>
        <v>158.44</v>
      </c>
      <c r="J11" s="9">
        <f>'Data Sheet'!J29</f>
        <v>443.37</v>
      </c>
      <c r="K11" s="9">
        <f>'Data Sheet'!K29</f>
        <v>495.33</v>
      </c>
      <c r="L11" s="9">
        <f>SUM(Quarters!H11:K11)</f>
        <v>513.53000000000009</v>
      </c>
      <c r="M11" s="10">
        <f>IF($L10&gt;0,$L11/$L10,0)</f>
        <v>0.24071417857276786</v>
      </c>
      <c r="N11" s="10">
        <f>IF($L10&gt;0,$L11/$L10,0)</f>
        <v>0.24071417857276786</v>
      </c>
    </row>
    <row r="12" spans="1:14" s="8" customFormat="1" x14ac:dyDescent="0.3">
      <c r="A12" s="8" t="s">
        <v>14</v>
      </c>
      <c r="B12" s="1">
        <f>'Data Sheet'!B30</f>
        <v>55.1</v>
      </c>
      <c r="C12" s="1">
        <f>'Data Sheet'!C30</f>
        <v>84.86</v>
      </c>
      <c r="D12" s="1">
        <f>'Data Sheet'!D30</f>
        <v>86.97</v>
      </c>
      <c r="E12" s="1">
        <f>'Data Sheet'!E30</f>
        <v>96.96</v>
      </c>
      <c r="F12" s="1">
        <f>'Data Sheet'!F30</f>
        <v>122.85</v>
      </c>
      <c r="G12" s="1">
        <f>'Data Sheet'!G30</f>
        <v>-146.16999999999999</v>
      </c>
      <c r="H12" s="1">
        <f>'Data Sheet'!H30</f>
        <v>105.83</v>
      </c>
      <c r="I12" s="1">
        <f>'Data Sheet'!I30</f>
        <v>444.63</v>
      </c>
      <c r="J12" s="1">
        <f>'Data Sheet'!J30</f>
        <v>1486.8</v>
      </c>
      <c r="K12" s="1">
        <f>'Data Sheet'!K30</f>
        <v>1546.72</v>
      </c>
      <c r="L12" s="1">
        <f>SUM(Quarters!H12:K12)</f>
        <v>1637.4699999999998</v>
      </c>
      <c r="M12" s="1">
        <f>M10-M11*M10</f>
        <v>2504.7078106981871</v>
      </c>
      <c r="N12" s="1">
        <f>N10-N11*N10</f>
        <v>1311.9018314804312</v>
      </c>
    </row>
    <row r="13" spans="1:14" x14ac:dyDescent="0.3">
      <c r="A13" s="11" t="s">
        <v>57</v>
      </c>
      <c r="B13" s="9">
        <f>IF('Data Sheet'!B93&gt;0,B12/'Data Sheet'!B93,0)</f>
        <v>1.6581402347276559</v>
      </c>
      <c r="C13" s="9">
        <f>IF('Data Sheet'!C93&gt;0,C12/'Data Sheet'!C93,0)</f>
        <v>2.5537165212157693</v>
      </c>
      <c r="D13" s="9">
        <f>IF('Data Sheet'!D93&gt;0,D12/'Data Sheet'!D93,0)</f>
        <v>2.6172133614204034</v>
      </c>
      <c r="E13" s="9">
        <f>IF('Data Sheet'!E93&gt;0,E12/'Data Sheet'!E93,0)</f>
        <v>2.9178453204935302</v>
      </c>
      <c r="F13" s="9">
        <f>IF('Data Sheet'!F93&gt;0,F12/'Data Sheet'!F93,0)</f>
        <v>3.4556962025316458</v>
      </c>
      <c r="G13" s="9">
        <f>IF('Data Sheet'!G93&gt;0,G12/'Data Sheet'!G93,0)</f>
        <v>-4.111673699015471</v>
      </c>
      <c r="H13" s="9">
        <f>IF('Data Sheet'!H93&gt;0,H12/'Data Sheet'!H93,0)</f>
        <v>2.9769338959212379</v>
      </c>
      <c r="I13" s="9">
        <f>IF('Data Sheet'!I93&gt;0,I12/'Data Sheet'!I93,0)</f>
        <v>12.507172995780591</v>
      </c>
      <c r="J13" s="9">
        <f>IF('Data Sheet'!J93&gt;0,J12/'Data Sheet'!J93,0)</f>
        <v>41.822784810126585</v>
      </c>
      <c r="K13" s="9">
        <f>IF('Data Sheet'!K93&gt;0,K12/'Data Sheet'!K93,0)</f>
        <v>43.508298171589317</v>
      </c>
      <c r="L13" s="9">
        <f>IF('Data Sheet'!$B6&gt;0,'Profit &amp; Loss'!L12/'Data Sheet'!$B6,0)</f>
        <v>46.13430734799956</v>
      </c>
      <c r="M13" s="9">
        <f>IF('Data Sheet'!$B6&gt;0,'Profit &amp; Loss'!M12/'Data Sheet'!$B6,0)</f>
        <v>70.567985951306156</v>
      </c>
      <c r="N13" s="9">
        <f>IF('Data Sheet'!$B6&gt;0,'Profit &amp; Loss'!N12/'Data Sheet'!$B6,0)</f>
        <v>36.961704522172468</v>
      </c>
    </row>
    <row r="14" spans="1:14" x14ac:dyDescent="0.3">
      <c r="A14" s="6" t="s">
        <v>16</v>
      </c>
      <c r="B14" s="9">
        <f>IF(B15&gt;0,B15/B13,"")</f>
        <v>95.999117967332111</v>
      </c>
      <c r="C14" s="9">
        <f t="shared" ref="C14:K14" si="2">IF(C15&gt;0,C15/C13,"")</f>
        <v>104.4360240395946</v>
      </c>
      <c r="D14" s="9">
        <f t="shared" si="2"/>
        <v>131.83869725192594</v>
      </c>
      <c r="E14" s="9">
        <f t="shared" si="2"/>
        <v>124.02987830033001</v>
      </c>
      <c r="F14" s="9">
        <f t="shared" si="2"/>
        <v>140.15989010989011</v>
      </c>
      <c r="G14" s="9">
        <f t="shared" si="2"/>
        <v>-182.66284121228705</v>
      </c>
      <c r="H14" s="9">
        <f t="shared" si="2"/>
        <v>428.46097514882354</v>
      </c>
      <c r="I14" s="9">
        <f t="shared" si="2"/>
        <v>109.93291613251468</v>
      </c>
      <c r="J14" s="9">
        <f t="shared" si="2"/>
        <v>94.398305084745758</v>
      </c>
      <c r="K14" s="9">
        <f t="shared" si="2"/>
        <v>122.39389320626873</v>
      </c>
      <c r="L14" s="9">
        <f t="shared" ref="L14" si="3">IF(L13&gt;0,L15/L13,0)</f>
        <v>83.582050358174527</v>
      </c>
      <c r="M14" s="9">
        <f>M25</f>
        <v>102.57679119542591</v>
      </c>
      <c r="N14" s="9">
        <f>N25</f>
        <v>83.582050358174527</v>
      </c>
    </row>
    <row r="15" spans="1:14" s="8" customFormat="1" x14ac:dyDescent="0.3">
      <c r="A15" s="8" t="s">
        <v>58</v>
      </c>
      <c r="B15" s="1">
        <f>'Data Sheet'!B90</f>
        <v>159.18</v>
      </c>
      <c r="C15" s="1">
        <f>'Data Sheet'!C90</f>
        <v>266.7</v>
      </c>
      <c r="D15" s="1">
        <f>'Data Sheet'!D90</f>
        <v>345.05</v>
      </c>
      <c r="E15" s="1">
        <f>'Data Sheet'!E90</f>
        <v>361.9</v>
      </c>
      <c r="F15" s="1">
        <f>'Data Sheet'!F90</f>
        <v>484.35</v>
      </c>
      <c r="G15" s="1">
        <f>'Data Sheet'!G90</f>
        <v>751.05</v>
      </c>
      <c r="H15" s="1">
        <f>'Data Sheet'!H90</f>
        <v>1275.5</v>
      </c>
      <c r="I15" s="1">
        <f>'Data Sheet'!I90</f>
        <v>1374.95</v>
      </c>
      <c r="J15" s="1">
        <f>'Data Sheet'!J90</f>
        <v>3948</v>
      </c>
      <c r="K15" s="1">
        <f>'Data Sheet'!K90</f>
        <v>5325.15</v>
      </c>
      <c r="L15" s="1">
        <f>'Data Sheet'!B8</f>
        <v>3856</v>
      </c>
      <c r="M15" s="12">
        <f>M13*M14</f>
        <v>7238.6375600088804</v>
      </c>
      <c r="N15" s="13">
        <f>N13*N14</f>
        <v>3089.3350486961863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0.54283121597096184</v>
      </c>
      <c r="C18" s="7">
        <f>IF('Data Sheet'!C30&gt;0, 'Data Sheet'!C31/'Data Sheet'!C30, 0)</f>
        <v>0.3915861418807447</v>
      </c>
      <c r="D18" s="7">
        <f>IF('Data Sheet'!D30&gt;0, 'Data Sheet'!D31/'Data Sheet'!D30, 0)</f>
        <v>0.43934690123030934</v>
      </c>
      <c r="E18" s="7">
        <f>IF('Data Sheet'!E30&gt;0, 'Data Sheet'!E31/'Data Sheet'!E30, 0)</f>
        <v>0.44554455445544561</v>
      </c>
      <c r="F18" s="7">
        <f>IF('Data Sheet'!F30&gt;0, 'Data Sheet'!F31/'Data Sheet'!F30, 0)</f>
        <v>0.28937728937728935</v>
      </c>
      <c r="G18" s="7">
        <f>IF('Data Sheet'!G30&gt;0, 'Data Sheet'!G31/'Data Sheet'!G30, 0)</f>
        <v>0</v>
      </c>
      <c r="H18" s="7">
        <f>IF('Data Sheet'!H30&gt;0, 'Data Sheet'!H31/'Data Sheet'!H30, 0)</f>
        <v>0.5711046017197392</v>
      </c>
      <c r="I18" s="7">
        <f>IF('Data Sheet'!I30&gt;0, 'Data Sheet'!I31/'Data Sheet'!I30, 0)</f>
        <v>0.1758990621415559</v>
      </c>
      <c r="J18" s="7">
        <f>IF('Data Sheet'!J30&gt;0, 'Data Sheet'!J31/'Data Sheet'!J30, 0)</f>
        <v>7.6513317191283292E-2</v>
      </c>
      <c r="K18" s="7">
        <f>IF('Data Sheet'!K30&gt;0, 'Data Sheet'!K31/'Data Sheet'!K30, 0)</f>
        <v>0.11492060618599359</v>
      </c>
    </row>
    <row r="19" spans="1:14" x14ac:dyDescent="0.3">
      <c r="A19" s="6" t="s">
        <v>18</v>
      </c>
      <c r="B19" s="7">
        <f t="shared" ref="B19:L19" si="4">IF(B6&gt;0,B6/B4,0)</f>
        <v>5.3233066654014713E-2</v>
      </c>
      <c r="C19" s="7">
        <f t="shared" ref="C19:K19" si="5">IF(C6&gt;0,C6/C4,0)</f>
        <v>7.3674163006775373E-2</v>
      </c>
      <c r="D19" s="7">
        <f t="shared" si="5"/>
        <v>9.664142093016799E-2</v>
      </c>
      <c r="E19" s="7">
        <f t="shared" si="5"/>
        <v>9.1489749984792215E-2</v>
      </c>
      <c r="F19" s="7">
        <f t="shared" si="5"/>
        <v>0.15174212129731077</v>
      </c>
      <c r="G19" s="7">
        <f t="shared" si="5"/>
        <v>4.3915062322596524E-2</v>
      </c>
      <c r="H19" s="7">
        <f t="shared" si="5"/>
        <v>0.13221817599743912</v>
      </c>
      <c r="I19" s="7">
        <f t="shared" si="5"/>
        <v>0.13517924004066981</v>
      </c>
      <c r="J19" s="7">
        <f t="shared" si="5"/>
        <v>0.15924626124535463</v>
      </c>
      <c r="K19" s="7">
        <f t="shared" si="5"/>
        <v>0.16457684184232971</v>
      </c>
      <c r="L19" s="7">
        <f t="shared" si="4"/>
        <v>0.17628571843871929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0.29385579102639547</v>
      </c>
      <c r="I23" s="7">
        <f>IF(D4=0,"",POWER($K4/D4,1/7)-1)</f>
        <v>0.34450257639511084</v>
      </c>
      <c r="J23" s="7">
        <f>IF(F4=0,"",POWER($K4/F4,1/5)-1)</f>
        <v>0.3750226957162861</v>
      </c>
      <c r="K23" s="7">
        <f>IF(H4=0,"",POWER($K4/H4, 1/3)-1)</f>
        <v>0.56177193363817679</v>
      </c>
      <c r="L23" s="7">
        <f>IF(ISERROR(MAX(IF(J4=0,"",(K4-J4)/J4),IF(K4=0,"",(L4-K4)/K4))),"",MAX(IF(J4=0,"",(K4-J4)/J4),IF(K4=0,"",(L4-K4)/K4)))</f>
        <v>0.3846026419159102</v>
      </c>
      <c r="M23" s="22">
        <f>MAX(K23:L23)</f>
        <v>0.56177193363817679</v>
      </c>
      <c r="N23" s="22">
        <f>MIN(H23:L23)</f>
        <v>0.29385579102639547</v>
      </c>
    </row>
    <row r="24" spans="1:14" x14ac:dyDescent="0.3">
      <c r="G24" s="6" t="s">
        <v>18</v>
      </c>
      <c r="H24" s="7">
        <f>IF(SUM(B4:$K$4)=0,"",SUMPRODUCT(B19:$K$19,B4:$K$4)/SUM(B4:$K$4))</f>
        <v>0.13803388889271598</v>
      </c>
      <c r="I24" s="7">
        <f>IF(SUM(E4:$K$4)=0,"",SUMPRODUCT(E19:$K$19,E4:$K$4)/SUM(E4:$K$4))</f>
        <v>0.14488134957281301</v>
      </c>
      <c r="J24" s="7">
        <f>IF(SUM(G4:$K$4)=0,"",SUMPRODUCT(G19:$K$19,G4:$K$4)/SUM(G4:$K$4))</f>
        <v>0.14747968009077067</v>
      </c>
      <c r="K24" s="7">
        <f>IF(SUM(I4:$K$4)=0, "", SUMPRODUCT(I19:$K$19,I4:$K$4)/SUM(I4:$K$4))</f>
        <v>0.15641133362329795</v>
      </c>
      <c r="L24" s="7">
        <f>L19</f>
        <v>0.17628571843871929</v>
      </c>
      <c r="M24" s="22">
        <f>MAX(K24:L24)</f>
        <v>0.17628571843871929</v>
      </c>
      <c r="N24" s="22">
        <f>MIN(H24:L24)</f>
        <v>0.13803388889271598</v>
      </c>
    </row>
    <row r="25" spans="1:14" x14ac:dyDescent="0.3">
      <c r="G25" s="6" t="s">
        <v>23</v>
      </c>
      <c r="H25" s="9">
        <f>IF(ISERROR(AVERAGEIF(B14:$L14,"&gt;0")),"",AVERAGEIF(B14:$L14,"&gt;0"))</f>
        <v>143.52317475996</v>
      </c>
      <c r="I25" s="9">
        <f>IF(ISERROR(AVERAGEIF(E14:$L14,"&gt;0")),"",AVERAGEIF(E14:$L14,"&gt;0"))</f>
        <v>157.56541547724962</v>
      </c>
      <c r="J25" s="9">
        <f>IF(ISERROR(AVERAGEIF(G14:$L14,"&gt;0")),"",AVERAGEIF(G14:$L14,"&gt;0"))</f>
        <v>167.75362798610547</v>
      </c>
      <c r="K25" s="9">
        <f>IF(ISERROR(AVERAGEIF(I14:$L14,"&gt;0")),"",AVERAGEIF(I14:$L14,"&gt;0"))</f>
        <v>102.57679119542591</v>
      </c>
      <c r="L25" s="9">
        <f>L14</f>
        <v>83.582050358174527</v>
      </c>
      <c r="M25" s="1">
        <f>MAX(K25:L25)</f>
        <v>102.57679119542591</v>
      </c>
      <c r="N25" s="1">
        <f>MIN(H25:L25)</f>
        <v>83.582050358174527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TRENT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45199</v>
      </c>
      <c r="C3" s="16">
        <f>'Data Sheet'!C41</f>
        <v>45291</v>
      </c>
      <c r="D3" s="16">
        <f>'Data Sheet'!D41</f>
        <v>45382</v>
      </c>
      <c r="E3" s="16">
        <f>'Data Sheet'!E41</f>
        <v>45473</v>
      </c>
      <c r="F3" s="16">
        <f>'Data Sheet'!F41</f>
        <v>45565</v>
      </c>
      <c r="G3" s="16">
        <f>'Data Sheet'!G41</f>
        <v>45657</v>
      </c>
      <c r="H3" s="16">
        <f>'Data Sheet'!H41</f>
        <v>45747</v>
      </c>
      <c r="I3" s="16">
        <f>'Data Sheet'!I41</f>
        <v>45838</v>
      </c>
      <c r="J3" s="16">
        <f>'Data Sheet'!J41</f>
        <v>45930</v>
      </c>
      <c r="K3" s="16">
        <f>'Data Sheet'!K41</f>
        <v>46022</v>
      </c>
    </row>
    <row r="4" spans="1:11" s="8" customFormat="1" x14ac:dyDescent="0.3">
      <c r="A4" s="8" t="s">
        <v>6</v>
      </c>
      <c r="B4" s="1">
        <f>'Data Sheet'!B42</f>
        <v>2982.42</v>
      </c>
      <c r="C4" s="1">
        <f>'Data Sheet'!C42</f>
        <v>3466.62</v>
      </c>
      <c r="D4" s="1">
        <f>'Data Sheet'!D42</f>
        <v>3297.7</v>
      </c>
      <c r="E4" s="1">
        <f>'Data Sheet'!E42</f>
        <v>4104.4399999999996</v>
      </c>
      <c r="F4" s="1">
        <f>'Data Sheet'!F42</f>
        <v>4156.67</v>
      </c>
      <c r="G4" s="1">
        <f>'Data Sheet'!G42</f>
        <v>4656.5600000000004</v>
      </c>
      <c r="H4" s="1">
        <f>'Data Sheet'!H42</f>
        <v>4216.9399999999996</v>
      </c>
      <c r="I4" s="1">
        <f>'Data Sheet'!I42</f>
        <v>4883.4799999999996</v>
      </c>
      <c r="J4" s="1">
        <f>'Data Sheet'!J42</f>
        <v>4817.68</v>
      </c>
      <c r="K4" s="1">
        <f>'Data Sheet'!K42</f>
        <v>5345.06</v>
      </c>
    </row>
    <row r="5" spans="1:11" x14ac:dyDescent="0.3">
      <c r="A5" s="6" t="s">
        <v>7</v>
      </c>
      <c r="B5" s="9">
        <f>'Data Sheet'!B43</f>
        <v>2525.85</v>
      </c>
      <c r="C5" s="9">
        <f>'Data Sheet'!C43</f>
        <v>2838.1</v>
      </c>
      <c r="D5" s="9">
        <f>'Data Sheet'!D43</f>
        <v>2828.06</v>
      </c>
      <c r="E5" s="9">
        <f>'Data Sheet'!E43</f>
        <v>3491.09</v>
      </c>
      <c r="F5" s="9">
        <f>'Data Sheet'!F43</f>
        <v>3510.95</v>
      </c>
      <c r="G5" s="9">
        <f>'Data Sheet'!G43</f>
        <v>3809.19</v>
      </c>
      <c r="H5" s="9">
        <f>'Data Sheet'!H43</f>
        <v>3566.03</v>
      </c>
      <c r="I5" s="9">
        <f>'Data Sheet'!I43</f>
        <v>4035.62</v>
      </c>
      <c r="J5" s="9">
        <f>'Data Sheet'!J43</f>
        <v>4001.7</v>
      </c>
      <c r="K5" s="9">
        <f>'Data Sheet'!K43</f>
        <v>4263.99</v>
      </c>
    </row>
    <row r="6" spans="1:11" s="8" customFormat="1" x14ac:dyDescent="0.3">
      <c r="A6" s="8" t="s">
        <v>8</v>
      </c>
      <c r="B6" s="1">
        <f>'Data Sheet'!B50</f>
        <v>456.57</v>
      </c>
      <c r="C6" s="1">
        <f>'Data Sheet'!C50</f>
        <v>628.52</v>
      </c>
      <c r="D6" s="1">
        <f>'Data Sheet'!D50</f>
        <v>469.64</v>
      </c>
      <c r="E6" s="1">
        <f>'Data Sheet'!E50</f>
        <v>613.35</v>
      </c>
      <c r="F6" s="1">
        <f>'Data Sheet'!F50</f>
        <v>645.72</v>
      </c>
      <c r="G6" s="1">
        <f>'Data Sheet'!G50</f>
        <v>847.37</v>
      </c>
      <c r="H6" s="1">
        <f>'Data Sheet'!H50</f>
        <v>650.91</v>
      </c>
      <c r="I6" s="1">
        <f>'Data Sheet'!I50</f>
        <v>847.86</v>
      </c>
      <c r="J6" s="1">
        <f>'Data Sheet'!J50</f>
        <v>815.98</v>
      </c>
      <c r="K6" s="1">
        <f>'Data Sheet'!K50</f>
        <v>1081.07</v>
      </c>
    </row>
    <row r="7" spans="1:11" x14ac:dyDescent="0.3">
      <c r="A7" s="6" t="s">
        <v>9</v>
      </c>
      <c r="B7" s="9">
        <f>'Data Sheet'!B44</f>
        <v>105.42</v>
      </c>
      <c r="C7" s="9">
        <f>'Data Sheet'!C44</f>
        <v>110.01</v>
      </c>
      <c r="D7" s="9">
        <f>'Data Sheet'!D44</f>
        <v>694.87</v>
      </c>
      <c r="E7" s="9">
        <f>'Data Sheet'!E44</f>
        <v>100.91</v>
      </c>
      <c r="F7" s="9">
        <f>'Data Sheet'!F44</f>
        <v>51.04</v>
      </c>
      <c r="G7" s="9">
        <f>'Data Sheet'!G44</f>
        <v>79.87</v>
      </c>
      <c r="H7" s="9">
        <f>'Data Sheet'!H44</f>
        <v>74.34</v>
      </c>
      <c r="I7" s="9">
        <f>'Data Sheet'!I44</f>
        <v>49.8</v>
      </c>
      <c r="J7" s="9">
        <f>'Data Sheet'!J44</f>
        <v>27.55</v>
      </c>
      <c r="K7" s="9">
        <f>'Data Sheet'!K44</f>
        <v>4.55</v>
      </c>
    </row>
    <row r="8" spans="1:11" x14ac:dyDescent="0.3">
      <c r="A8" s="6" t="s">
        <v>10</v>
      </c>
      <c r="B8" s="9">
        <f>'Data Sheet'!B45</f>
        <v>152.22</v>
      </c>
      <c r="C8" s="9">
        <f>'Data Sheet'!C45</f>
        <v>164.53</v>
      </c>
      <c r="D8" s="9">
        <f>'Data Sheet'!D45</f>
        <v>212.94</v>
      </c>
      <c r="E8" s="9">
        <f>'Data Sheet'!E45</f>
        <v>181.32</v>
      </c>
      <c r="F8" s="9">
        <f>'Data Sheet'!F45</f>
        <v>196.95</v>
      </c>
      <c r="G8" s="9">
        <f>'Data Sheet'!G45</f>
        <v>244.93</v>
      </c>
      <c r="H8" s="9">
        <f>'Data Sheet'!H45</f>
        <v>271.98</v>
      </c>
      <c r="I8" s="9">
        <f>'Data Sheet'!I45</f>
        <v>292.93</v>
      </c>
      <c r="J8" s="9">
        <f>'Data Sheet'!J45</f>
        <v>324.93</v>
      </c>
      <c r="K8" s="9">
        <f>'Data Sheet'!K45</f>
        <v>366.74</v>
      </c>
    </row>
    <row r="9" spans="1:11" x14ac:dyDescent="0.3">
      <c r="A9" s="6" t="s">
        <v>11</v>
      </c>
      <c r="B9" s="9">
        <f>'Data Sheet'!B46</f>
        <v>95.45</v>
      </c>
      <c r="C9" s="9">
        <f>'Data Sheet'!C46</f>
        <v>98.81</v>
      </c>
      <c r="D9" s="9">
        <f>'Data Sheet'!D46</f>
        <v>32.54</v>
      </c>
      <c r="E9" s="9">
        <f>'Data Sheet'!E46</f>
        <v>31.55</v>
      </c>
      <c r="F9" s="9">
        <f>'Data Sheet'!F46</f>
        <v>33</v>
      </c>
      <c r="G9" s="9">
        <f>'Data Sheet'!G46</f>
        <v>36.520000000000003</v>
      </c>
      <c r="H9" s="9">
        <f>'Data Sheet'!H46</f>
        <v>37.520000000000003</v>
      </c>
      <c r="I9" s="9">
        <f>'Data Sheet'!I46</f>
        <v>40.04</v>
      </c>
      <c r="J9" s="9">
        <f>'Data Sheet'!J46</f>
        <v>41.62</v>
      </c>
      <c r="K9" s="9">
        <f>'Data Sheet'!K46</f>
        <v>42.94</v>
      </c>
    </row>
    <row r="10" spans="1:11" x14ac:dyDescent="0.3">
      <c r="A10" s="6" t="s">
        <v>12</v>
      </c>
      <c r="B10" s="9">
        <f>'Data Sheet'!B47</f>
        <v>314.32</v>
      </c>
      <c r="C10" s="9">
        <f>'Data Sheet'!C47</f>
        <v>475.19</v>
      </c>
      <c r="D10" s="9">
        <f>'Data Sheet'!D47</f>
        <v>919.03</v>
      </c>
      <c r="E10" s="9">
        <f>'Data Sheet'!E47</f>
        <v>501.39</v>
      </c>
      <c r="F10" s="9">
        <f>'Data Sheet'!F47</f>
        <v>466.81</v>
      </c>
      <c r="G10" s="9">
        <f>'Data Sheet'!G47</f>
        <v>645.79</v>
      </c>
      <c r="H10" s="9">
        <f>'Data Sheet'!H47</f>
        <v>415.75</v>
      </c>
      <c r="I10" s="9">
        <f>'Data Sheet'!I47</f>
        <v>564.69000000000005</v>
      </c>
      <c r="J10" s="9">
        <f>'Data Sheet'!J47</f>
        <v>476.98</v>
      </c>
      <c r="K10" s="9">
        <f>'Data Sheet'!K47</f>
        <v>675.94</v>
      </c>
    </row>
    <row r="11" spans="1:11" x14ac:dyDescent="0.3">
      <c r="A11" s="6" t="s">
        <v>13</v>
      </c>
      <c r="B11" s="9">
        <f>'Data Sheet'!B48</f>
        <v>86.26</v>
      </c>
      <c r="C11" s="9">
        <f>'Data Sheet'!C48</f>
        <v>104.55</v>
      </c>
      <c r="D11" s="9">
        <f>'Data Sheet'!D48</f>
        <v>206.94</v>
      </c>
      <c r="E11" s="9">
        <f>'Data Sheet'!E48</f>
        <v>110.18</v>
      </c>
      <c r="F11" s="9">
        <f>'Data Sheet'!F48</f>
        <v>131.75</v>
      </c>
      <c r="G11" s="9">
        <f>'Data Sheet'!G48</f>
        <v>149.25</v>
      </c>
      <c r="H11" s="9">
        <f>'Data Sheet'!H48</f>
        <v>104.15</v>
      </c>
      <c r="I11" s="9">
        <f>'Data Sheet'!I48</f>
        <v>139.99</v>
      </c>
      <c r="J11" s="9">
        <f>'Data Sheet'!J48</f>
        <v>103.56</v>
      </c>
      <c r="K11" s="9">
        <f>'Data Sheet'!K48</f>
        <v>165.83</v>
      </c>
    </row>
    <row r="12" spans="1:11" s="8" customFormat="1" x14ac:dyDescent="0.3">
      <c r="A12" s="8" t="s">
        <v>14</v>
      </c>
      <c r="B12" s="1">
        <f>'Data Sheet'!B49</f>
        <v>234.73</v>
      </c>
      <c r="C12" s="1">
        <f>'Data Sheet'!C49</f>
        <v>374.36</v>
      </c>
      <c r="D12" s="1">
        <f>'Data Sheet'!D49</f>
        <v>704.23</v>
      </c>
      <c r="E12" s="1">
        <f>'Data Sheet'!E49</f>
        <v>392.57</v>
      </c>
      <c r="F12" s="1">
        <f>'Data Sheet'!F49</f>
        <v>338.75</v>
      </c>
      <c r="G12" s="1">
        <f>'Data Sheet'!G49</f>
        <v>497.25</v>
      </c>
      <c r="H12" s="1">
        <f>'Data Sheet'!H49</f>
        <v>318.14999999999998</v>
      </c>
      <c r="I12" s="1">
        <f>'Data Sheet'!I49</f>
        <v>429.69</v>
      </c>
      <c r="J12" s="1">
        <f>'Data Sheet'!J49</f>
        <v>376.86</v>
      </c>
      <c r="K12" s="1">
        <f>'Data Sheet'!K49</f>
        <v>512.77</v>
      </c>
    </row>
    <row r="14" spans="1:11" s="8" customFormat="1" x14ac:dyDescent="0.3">
      <c r="A14" s="2" t="s">
        <v>18</v>
      </c>
      <c r="B14" s="14">
        <f>IF(B4&gt;0,B6/B4,"")</f>
        <v>0.15308709034944776</v>
      </c>
      <c r="C14" s="14">
        <f t="shared" ref="C14:K14" si="0">IF(C4&gt;0,C6/C4,"")</f>
        <v>0.18130628681539943</v>
      </c>
      <c r="D14" s="14">
        <f t="shared" si="0"/>
        <v>0.14241441004336355</v>
      </c>
      <c r="E14" s="14">
        <f t="shared" si="0"/>
        <v>0.14943573301108071</v>
      </c>
      <c r="F14" s="14">
        <f t="shared" si="0"/>
        <v>0.15534550493544111</v>
      </c>
      <c r="G14" s="14">
        <f t="shared" si="0"/>
        <v>0.18197338808047139</v>
      </c>
      <c r="H14" s="14">
        <f t="shared" si="0"/>
        <v>0.15435600221961898</v>
      </c>
      <c r="I14" s="14">
        <f t="shared" si="0"/>
        <v>0.17361799372578574</v>
      </c>
      <c r="J14" s="14">
        <f t="shared" si="0"/>
        <v>0.16937197987413027</v>
      </c>
      <c r="K14" s="14">
        <f t="shared" si="0"/>
        <v>0.20225591480731739</v>
      </c>
    </row>
    <row r="22" s="30" customFormat="1" x14ac:dyDescent="0.3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TRENT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3">
      <c r="A4" s="6" t="s">
        <v>24</v>
      </c>
      <c r="B4" s="19">
        <f>'Data Sheet'!B57</f>
        <v>33.229999999999997</v>
      </c>
      <c r="C4" s="19">
        <f>'Data Sheet'!C57</f>
        <v>33.229999999999997</v>
      </c>
      <c r="D4" s="19">
        <f>'Data Sheet'!D57</f>
        <v>33.229999999999997</v>
      </c>
      <c r="E4" s="19">
        <f>'Data Sheet'!E57</f>
        <v>33.229999999999997</v>
      </c>
      <c r="F4" s="19">
        <f>'Data Sheet'!F57</f>
        <v>35.549999999999997</v>
      </c>
      <c r="G4" s="19">
        <f>'Data Sheet'!G57</f>
        <v>35.549999999999997</v>
      </c>
      <c r="H4" s="19">
        <f>'Data Sheet'!H57</f>
        <v>35.549999999999997</v>
      </c>
      <c r="I4" s="19">
        <f>'Data Sheet'!I57</f>
        <v>35.549999999999997</v>
      </c>
      <c r="J4" s="19">
        <f>'Data Sheet'!J57</f>
        <v>35.549999999999997</v>
      </c>
      <c r="K4" s="19">
        <f>'Data Sheet'!K57</f>
        <v>35.549999999999997</v>
      </c>
    </row>
    <row r="5" spans="1:11" s="6" customFormat="1" x14ac:dyDescent="0.3">
      <c r="A5" s="6" t="s">
        <v>25</v>
      </c>
      <c r="B5" s="19">
        <f>'Data Sheet'!B58</f>
        <v>1431.16</v>
      </c>
      <c r="C5" s="19">
        <f>'Data Sheet'!C58</f>
        <v>1514.46</v>
      </c>
      <c r="D5" s="19">
        <f>'Data Sheet'!D58</f>
        <v>1562.14</v>
      </c>
      <c r="E5" s="19">
        <f>'Data Sheet'!E58</f>
        <v>1613.28</v>
      </c>
      <c r="F5" s="19">
        <f>'Data Sheet'!F58</f>
        <v>2352.2199999999998</v>
      </c>
      <c r="G5" s="19">
        <f>'Data Sheet'!G58</f>
        <v>2277.48</v>
      </c>
      <c r="H5" s="19">
        <f>'Data Sheet'!H58</f>
        <v>2328.4499999999998</v>
      </c>
      <c r="I5" s="19">
        <f>'Data Sheet'!I58</f>
        <v>2559.94</v>
      </c>
      <c r="J5" s="19">
        <f>'Data Sheet'!J58</f>
        <v>4032.19</v>
      </c>
      <c r="K5" s="19">
        <f>'Data Sheet'!K58</f>
        <v>5426.19</v>
      </c>
    </row>
    <row r="6" spans="1:11" x14ac:dyDescent="0.3">
      <c r="A6" s="11" t="s">
        <v>71</v>
      </c>
      <c r="B6" s="19">
        <f>'Data Sheet'!B59</f>
        <v>399.8</v>
      </c>
      <c r="C6" s="19">
        <f>'Data Sheet'!C59</f>
        <v>391.74</v>
      </c>
      <c r="D6" s="19">
        <f>'Data Sheet'!D59</f>
        <v>391.43</v>
      </c>
      <c r="E6" s="19">
        <f>'Data Sheet'!E59</f>
        <v>494.14</v>
      </c>
      <c r="F6" s="19">
        <f>'Data Sheet'!F59</f>
        <v>299.74</v>
      </c>
      <c r="G6" s="19">
        <f>'Data Sheet'!G59</f>
        <v>299.93</v>
      </c>
      <c r="H6" s="19">
        <f>'Data Sheet'!H59</f>
        <v>4725.3599999999997</v>
      </c>
      <c r="I6" s="19">
        <f>'Data Sheet'!I59</f>
        <v>4464.1400000000003</v>
      </c>
      <c r="J6" s="19">
        <f>'Data Sheet'!J59</f>
        <v>1752.99</v>
      </c>
      <c r="K6" s="19">
        <f>'Data Sheet'!K59</f>
        <v>2237.19</v>
      </c>
    </row>
    <row r="7" spans="1:11" s="6" customFormat="1" x14ac:dyDescent="0.3">
      <c r="A7" s="11" t="s">
        <v>72</v>
      </c>
      <c r="B7" s="19">
        <f>'Data Sheet'!B60</f>
        <v>292.39999999999998</v>
      </c>
      <c r="C7" s="19">
        <f>'Data Sheet'!C60</f>
        <v>282.82</v>
      </c>
      <c r="D7" s="19">
        <f>'Data Sheet'!D60</f>
        <v>349.06</v>
      </c>
      <c r="E7" s="19">
        <f>'Data Sheet'!E60</f>
        <v>418.11</v>
      </c>
      <c r="F7" s="19">
        <f>'Data Sheet'!F60</f>
        <v>2819.17</v>
      </c>
      <c r="G7" s="19">
        <f>'Data Sheet'!G60</f>
        <v>3110.77</v>
      </c>
      <c r="H7" s="19">
        <f>'Data Sheet'!H60</f>
        <v>636.66</v>
      </c>
      <c r="I7" s="19">
        <f>'Data Sheet'!I60</f>
        <v>1021.9</v>
      </c>
      <c r="J7" s="19">
        <f>'Data Sheet'!J60</f>
        <v>1341.02</v>
      </c>
      <c r="K7" s="19">
        <f>'Data Sheet'!K60</f>
        <v>1720.71</v>
      </c>
    </row>
    <row r="8" spans="1:11" s="8" customFormat="1" x14ac:dyDescent="0.3">
      <c r="A8" s="8" t="s">
        <v>26</v>
      </c>
      <c r="B8" s="20">
        <f>'Data Sheet'!B61</f>
        <v>2156.59</v>
      </c>
      <c r="C8" s="20">
        <f>'Data Sheet'!C61</f>
        <v>2222.25</v>
      </c>
      <c r="D8" s="20">
        <f>'Data Sheet'!D61</f>
        <v>2335.86</v>
      </c>
      <c r="E8" s="20">
        <f>'Data Sheet'!E61</f>
        <v>2558.7600000000002</v>
      </c>
      <c r="F8" s="20">
        <f>'Data Sheet'!F61</f>
        <v>5506.68</v>
      </c>
      <c r="G8" s="20">
        <f>'Data Sheet'!G61</f>
        <v>5723.73</v>
      </c>
      <c r="H8" s="20">
        <f>'Data Sheet'!H61</f>
        <v>7726.02</v>
      </c>
      <c r="I8" s="20">
        <f>'Data Sheet'!I61</f>
        <v>8081.53</v>
      </c>
      <c r="J8" s="20">
        <f>'Data Sheet'!J61</f>
        <v>7161.75</v>
      </c>
      <c r="K8" s="20">
        <f>'Data Sheet'!K61</f>
        <v>9419.64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476.79</v>
      </c>
      <c r="C10" s="19">
        <f>'Data Sheet'!C62</f>
        <v>548.71</v>
      </c>
      <c r="D10" s="19">
        <f>'Data Sheet'!D62</f>
        <v>612.53</v>
      </c>
      <c r="E10" s="19">
        <f>'Data Sheet'!E62</f>
        <v>662.18</v>
      </c>
      <c r="F10" s="19">
        <f>'Data Sheet'!F62</f>
        <v>2738.43</v>
      </c>
      <c r="G10" s="19">
        <f>'Data Sheet'!G62</f>
        <v>3053.82</v>
      </c>
      <c r="H10" s="19">
        <f>'Data Sheet'!H62</f>
        <v>4686.71</v>
      </c>
      <c r="I10" s="19">
        <f>'Data Sheet'!I62</f>
        <v>4526.95</v>
      </c>
      <c r="J10" s="19">
        <f>'Data Sheet'!J62</f>
        <v>2449.92</v>
      </c>
      <c r="K10" s="19">
        <f>'Data Sheet'!K62</f>
        <v>3895.13</v>
      </c>
    </row>
    <row r="11" spans="1:11" x14ac:dyDescent="0.3">
      <c r="A11" s="6" t="s">
        <v>28</v>
      </c>
      <c r="B11" s="19">
        <f>'Data Sheet'!B63</f>
        <v>54.86</v>
      </c>
      <c r="C11" s="19">
        <f>'Data Sheet'!C63</f>
        <v>5.48</v>
      </c>
      <c r="D11" s="19">
        <f>'Data Sheet'!D63</f>
        <v>9.59</v>
      </c>
      <c r="E11" s="19">
        <f>'Data Sheet'!E63</f>
        <v>87.18</v>
      </c>
      <c r="F11" s="19">
        <f>'Data Sheet'!F63</f>
        <v>23.32</v>
      </c>
      <c r="G11" s="19">
        <f>'Data Sheet'!G63</f>
        <v>107.98</v>
      </c>
      <c r="H11" s="19">
        <f>'Data Sheet'!H63</f>
        <v>104.72</v>
      </c>
      <c r="I11" s="19">
        <f>'Data Sheet'!I63</f>
        <v>101.72</v>
      </c>
      <c r="J11" s="19">
        <f>'Data Sheet'!J63</f>
        <v>223.78</v>
      </c>
      <c r="K11" s="19">
        <f>'Data Sheet'!K63</f>
        <v>179.5</v>
      </c>
    </row>
    <row r="12" spans="1:11" x14ac:dyDescent="0.3">
      <c r="A12" s="6" t="s">
        <v>29</v>
      </c>
      <c r="B12" s="19">
        <f>'Data Sheet'!B64</f>
        <v>1066.97</v>
      </c>
      <c r="C12" s="19">
        <f>'Data Sheet'!C64</f>
        <v>1079.96</v>
      </c>
      <c r="D12" s="19">
        <f>'Data Sheet'!D64</f>
        <v>1022.88</v>
      </c>
      <c r="E12" s="19">
        <f>'Data Sheet'!E64</f>
        <v>882.83</v>
      </c>
      <c r="F12" s="19">
        <f>'Data Sheet'!F64</f>
        <v>1514.78</v>
      </c>
      <c r="G12" s="19">
        <f>'Data Sheet'!G64</f>
        <v>1487.29</v>
      </c>
      <c r="H12" s="19">
        <f>'Data Sheet'!H64</f>
        <v>1283.72</v>
      </c>
      <c r="I12" s="19">
        <f>'Data Sheet'!I64</f>
        <v>1109.8699999999999</v>
      </c>
      <c r="J12" s="19">
        <f>'Data Sheet'!J64</f>
        <v>1416.03</v>
      </c>
      <c r="K12" s="19">
        <f>'Data Sheet'!K64</f>
        <v>1480.25</v>
      </c>
    </row>
    <row r="13" spans="1:11" x14ac:dyDescent="0.3">
      <c r="A13" s="11" t="s">
        <v>73</v>
      </c>
      <c r="B13" s="19">
        <f>'Data Sheet'!B65</f>
        <v>557.97</v>
      </c>
      <c r="C13" s="19">
        <f>'Data Sheet'!C65</f>
        <v>588.1</v>
      </c>
      <c r="D13" s="19">
        <f>'Data Sheet'!D65</f>
        <v>690.86</v>
      </c>
      <c r="E13" s="19">
        <f>'Data Sheet'!E65</f>
        <v>926.57</v>
      </c>
      <c r="F13" s="19">
        <f>'Data Sheet'!F65</f>
        <v>1230.1500000000001</v>
      </c>
      <c r="G13" s="19">
        <f>'Data Sheet'!G65</f>
        <v>1074.6400000000001</v>
      </c>
      <c r="H13" s="19">
        <f>'Data Sheet'!H65</f>
        <v>1650.87</v>
      </c>
      <c r="I13" s="19">
        <f>'Data Sheet'!I65</f>
        <v>2342.9899999999998</v>
      </c>
      <c r="J13" s="19">
        <f>'Data Sheet'!J65</f>
        <v>3072.02</v>
      </c>
      <c r="K13" s="19">
        <f>'Data Sheet'!K65</f>
        <v>3864.76</v>
      </c>
    </row>
    <row r="14" spans="1:11" s="8" customFormat="1" x14ac:dyDescent="0.3">
      <c r="A14" s="8" t="s">
        <v>26</v>
      </c>
      <c r="B14" s="19">
        <f>'Data Sheet'!B66</f>
        <v>2156.59</v>
      </c>
      <c r="C14" s="19">
        <f>'Data Sheet'!C66</f>
        <v>2222.25</v>
      </c>
      <c r="D14" s="19">
        <f>'Data Sheet'!D66</f>
        <v>2335.86</v>
      </c>
      <c r="E14" s="19">
        <f>'Data Sheet'!E66</f>
        <v>2558.7600000000002</v>
      </c>
      <c r="F14" s="19">
        <f>'Data Sheet'!F66</f>
        <v>5506.68</v>
      </c>
      <c r="G14" s="19">
        <f>'Data Sheet'!G66</f>
        <v>5723.73</v>
      </c>
      <c r="H14" s="19">
        <f>'Data Sheet'!H66</f>
        <v>7726.02</v>
      </c>
      <c r="I14" s="19">
        <f>'Data Sheet'!I66</f>
        <v>8081.53</v>
      </c>
      <c r="J14" s="19">
        <f>'Data Sheet'!J66</f>
        <v>7161.75</v>
      </c>
      <c r="K14" s="19">
        <f>'Data Sheet'!K66</f>
        <v>9419.64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265.57000000000005</v>
      </c>
      <c r="C16" s="21">
        <f t="shared" ref="C16:K16" si="0">C13-C7</f>
        <v>305.28000000000003</v>
      </c>
      <c r="D16" s="21">
        <f t="shared" si="0"/>
        <v>341.8</v>
      </c>
      <c r="E16" s="21">
        <f t="shared" si="0"/>
        <v>508.46000000000004</v>
      </c>
      <c r="F16" s="21">
        <f t="shared" si="0"/>
        <v>-1589.02</v>
      </c>
      <c r="G16" s="21">
        <f t="shared" si="0"/>
        <v>-2036.1299999999999</v>
      </c>
      <c r="H16" s="21">
        <f t="shared" si="0"/>
        <v>1014.2099999999999</v>
      </c>
      <c r="I16" s="21">
        <f t="shared" si="0"/>
        <v>1321.0899999999997</v>
      </c>
      <c r="J16" s="21">
        <f t="shared" si="0"/>
        <v>1731</v>
      </c>
      <c r="K16" s="21">
        <f t="shared" si="0"/>
        <v>2144.0500000000002</v>
      </c>
    </row>
    <row r="17" spans="1:11" x14ac:dyDescent="0.3">
      <c r="A17" s="11" t="s">
        <v>44</v>
      </c>
      <c r="B17" s="21">
        <f>'Data Sheet'!B67</f>
        <v>12.99</v>
      </c>
      <c r="C17" s="21">
        <f>'Data Sheet'!C67</f>
        <v>5.92</v>
      </c>
      <c r="D17" s="21">
        <f>'Data Sheet'!D67</f>
        <v>15.1</v>
      </c>
      <c r="E17" s="21">
        <f>'Data Sheet'!E67</f>
        <v>16.54</v>
      </c>
      <c r="F17" s="21">
        <f>'Data Sheet'!F67</f>
        <v>17.12</v>
      </c>
      <c r="G17" s="21">
        <f>'Data Sheet'!G67</f>
        <v>20.77</v>
      </c>
      <c r="H17" s="21">
        <f>'Data Sheet'!H67</f>
        <v>18.260000000000002</v>
      </c>
      <c r="I17" s="21">
        <f>'Data Sheet'!I67</f>
        <v>34.39</v>
      </c>
      <c r="J17" s="21">
        <f>'Data Sheet'!J67</f>
        <v>81.739999999999995</v>
      </c>
      <c r="K17" s="21">
        <f>'Data Sheet'!K67</f>
        <v>62.95</v>
      </c>
    </row>
    <row r="18" spans="1:11" x14ac:dyDescent="0.3">
      <c r="A18" s="11" t="s">
        <v>45</v>
      </c>
      <c r="B18" s="21">
        <f>'Data Sheet'!B68</f>
        <v>279.19</v>
      </c>
      <c r="C18" s="21">
        <f>'Data Sheet'!C68</f>
        <v>305.36</v>
      </c>
      <c r="D18" s="21">
        <f>'Data Sheet'!D68</f>
        <v>344.77</v>
      </c>
      <c r="E18" s="21">
        <f>'Data Sheet'!E68</f>
        <v>497.01</v>
      </c>
      <c r="F18" s="21">
        <f>'Data Sheet'!F68</f>
        <v>607.80999999999995</v>
      </c>
      <c r="G18" s="21">
        <f>'Data Sheet'!G68</f>
        <v>428.39</v>
      </c>
      <c r="H18" s="21">
        <f>'Data Sheet'!H68</f>
        <v>867.78</v>
      </c>
      <c r="I18" s="21">
        <f>'Data Sheet'!I68</f>
        <v>1361.16</v>
      </c>
      <c r="J18" s="21">
        <f>'Data Sheet'!J68</f>
        <v>1582.73</v>
      </c>
      <c r="K18" s="21">
        <f>'Data Sheet'!K68</f>
        <v>2045.05</v>
      </c>
    </row>
    <row r="20" spans="1:11" x14ac:dyDescent="0.3">
      <c r="A20" s="11" t="s">
        <v>46</v>
      </c>
      <c r="B20" s="5">
        <f>IF('Profit &amp; Loss'!B4&gt;0,'Balance Sheet'!B17/('Profit &amp; Loss'!B4/365),0)</f>
        <v>2.8119050866757207</v>
      </c>
      <c r="C20" s="5">
        <f>IF('Profit &amp; Loss'!C4&gt;0,'Balance Sheet'!C17/('Profit &amp; Loss'!C4/365),0)</f>
        <v>1.1922049833373793</v>
      </c>
      <c r="D20" s="5">
        <f>IF('Profit &amp; Loss'!D4&gt;0,'Balance Sheet'!D17/('Profit &amp; Loss'!D4/365),0)</f>
        <v>2.5546244194562124</v>
      </c>
      <c r="E20" s="5">
        <f>IF('Profit &amp; Loss'!E4&gt;0,'Balance Sheet'!E17/('Profit &amp; Loss'!E4/365),0)</f>
        <v>2.2952658312549428</v>
      </c>
      <c r="F20" s="5">
        <f>IF('Profit &amp; Loss'!F4&gt;0,'Balance Sheet'!F17/('Profit &amp; Loss'!F4/365),0)</f>
        <v>1.7925518792419923</v>
      </c>
      <c r="G20" s="5">
        <f>IF('Profit &amp; Loss'!G4&gt;0,'Balance Sheet'!G17/('Profit &amp; Loss'!G4/365),0)</f>
        <v>2.923704954954955</v>
      </c>
      <c r="H20" s="5">
        <f>IF('Profit &amp; Loss'!H4&gt;0,'Balance Sheet'!H17/('Profit &amp; Loss'!H4/365),0)</f>
        <v>1.4817408548650295</v>
      </c>
      <c r="I20" s="5">
        <f>IF('Profit &amp; Loss'!I4&gt;0,'Balance Sheet'!I17/('Profit &amp; Loss'!I4/365),0)</f>
        <v>1.5229700971363818</v>
      </c>
      <c r="J20" s="5">
        <f>IF('Profit &amp; Loss'!J4&gt;0,'Balance Sheet'!J17/('Profit &amp; Loss'!J4/365),0)</f>
        <v>2.4108957415328023</v>
      </c>
      <c r="K20" s="5">
        <f>IF('Profit &amp; Loss'!K4&gt;0,'Balance Sheet'!K17/('Profit &amp; Loss'!K4/365),0)</f>
        <v>1.3409555280219392</v>
      </c>
    </row>
    <row r="21" spans="1:11" x14ac:dyDescent="0.3">
      <c r="A21" s="11" t="s">
        <v>47</v>
      </c>
      <c r="B21" s="5">
        <f>IF('Balance Sheet'!B18&gt;0,'Profit &amp; Loss'!B4/'Balance Sheet'!B18,0)</f>
        <v>6.0395071456714069</v>
      </c>
      <c r="C21" s="5">
        <f>IF('Balance Sheet'!C18&gt;0,'Profit &amp; Loss'!C4/'Balance Sheet'!C18,0)</f>
        <v>5.935420487293686</v>
      </c>
      <c r="D21" s="5">
        <f>IF('Balance Sheet'!D18&gt;0,'Profit &amp; Loss'!D4/'Balance Sheet'!D18,0)</f>
        <v>6.2576790323984106</v>
      </c>
      <c r="E21" s="5">
        <f>IF('Balance Sheet'!E18&gt;0,'Profit &amp; Loss'!E4/'Balance Sheet'!E18,0)</f>
        <v>5.2921269189754732</v>
      </c>
      <c r="F21" s="5">
        <f>IF('Balance Sheet'!F18&gt;0,'Profit &amp; Loss'!F4/'Balance Sheet'!F18,0)</f>
        <v>5.7353120218489337</v>
      </c>
      <c r="G21" s="5">
        <f>IF('Balance Sheet'!G18&gt;0,'Profit &amp; Loss'!G4/'Balance Sheet'!G18,0)</f>
        <v>6.0528023529961024</v>
      </c>
      <c r="H21" s="5">
        <f>IF('Balance Sheet'!H18&gt;0,'Profit &amp; Loss'!H4/'Balance Sheet'!H18,0)</f>
        <v>5.1833644472101232</v>
      </c>
      <c r="I21" s="5">
        <f>IF('Balance Sheet'!I18&gt;0,'Profit &amp; Loss'!I4/'Balance Sheet'!I18,0)</f>
        <v>6.0551441417614384</v>
      </c>
      <c r="J21" s="5">
        <f>IF('Balance Sheet'!J18&gt;0,'Profit &amp; Loss'!J4/'Balance Sheet'!J18,0)</f>
        <v>7.8188383362923561</v>
      </c>
      <c r="K21" s="5">
        <f>IF('Balance Sheet'!K18&gt;0,'Profit &amp; Loss'!K4/'Balance Sheet'!K18,0)</f>
        <v>8.3785775408914205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3.7626588545401157E-2</v>
      </c>
      <c r="C23" s="14">
        <f>IF(SUM('Balance Sheet'!C4:C5)&gt;0,'Profit &amp; Loss'!C12/SUM('Balance Sheet'!C4:C5),"")</f>
        <v>5.4830101635340411E-2</v>
      </c>
      <c r="D23" s="14">
        <f>IF(SUM('Balance Sheet'!D4:D5)&gt;0,'Profit &amp; Loss'!D12/SUM('Balance Sheet'!D4:D5),"")</f>
        <v>5.4513999887173502E-2</v>
      </c>
      <c r="E23" s="14">
        <f>IF(SUM('Balance Sheet'!E4:E5)&gt;0,'Profit &amp; Loss'!E12/SUM('Balance Sheet'!E4:E5),"")</f>
        <v>5.8888193816010834E-2</v>
      </c>
      <c r="F23" s="14">
        <f>IF(SUM('Balance Sheet'!F4:F5)&gt;0,'Profit &amp; Loss'!F12/SUM('Balance Sheet'!F4:F5),"")</f>
        <v>5.1449678989182374E-2</v>
      </c>
      <c r="G23" s="14">
        <f>IF(SUM('Balance Sheet'!G4:G5)&gt;0,'Profit &amp; Loss'!G12/SUM('Balance Sheet'!G4:G5),"")</f>
        <v>-6.3194165229158286E-2</v>
      </c>
      <c r="H23" s="14">
        <f>IF(SUM('Balance Sheet'!H4:H5)&gt;0,'Profit &amp; Loss'!H12/SUM('Balance Sheet'!H4:H5),"")</f>
        <v>4.4767343485617596E-2</v>
      </c>
      <c r="I23" s="14">
        <f>IF(SUM('Balance Sheet'!I4:I5)&gt;0,'Profit &amp; Loss'!I12/SUM('Balance Sheet'!I4:I5),"")</f>
        <v>0.17130869315620556</v>
      </c>
      <c r="J23" s="14">
        <f>IF(SUM('Balance Sheet'!J4:J5)&gt;0,'Profit &amp; Loss'!J12/SUM('Balance Sheet'!J4:J5),"")</f>
        <v>0.3655100866820396</v>
      </c>
      <c r="K23" s="14">
        <f>IF(SUM('Balance Sheet'!K4:K5)&gt;0,'Profit &amp; Loss'!K12/SUM('Balance Sheet'!K4:K5),"")</f>
        <v>0.28319180334472166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9.125517270389788E-2</v>
      </c>
      <c r="D24" s="14">
        <f>IF((C4+C5+C6+D4+D5+D6)&gt;0,('Profit &amp; Loss'!D10+'Profit &amp; Loss'!D9)*2/(C4+C5+C6+D4+D5+D6),"")</f>
        <v>9.7009090144999144E-2</v>
      </c>
      <c r="E24" s="14">
        <f>IF((D4+D5+D6+E4+E5+E6)&gt;0,('Profit &amp; Loss'!E10+'Profit &amp; Loss'!E9)*2/(D4+D5+D6+E4+E5+E6),"")</f>
        <v>0.10617209172733769</v>
      </c>
      <c r="F24" s="14">
        <f>IF((E4+E5+E6+F4+F5+F6)&gt;0,('Profit &amp; Loss'!F10+'Profit &amp; Loss'!F9)*2/(E4+E5+E6+F4+F5+F6),"")</f>
        <v>0.17744233828207848</v>
      </c>
      <c r="G24" s="14">
        <f>IF((F4+F5+F6+G4+G5+G6)&gt;0,('Profit &amp; Loss'!G10+'Profit &amp; Loss'!G9)*2/(F4+F5+F6+G4+G5+G6),"")</f>
        <v>2.1118881910472096E-2</v>
      </c>
      <c r="H24" s="14">
        <f>IF((G4+G5+G6+H4+H5+H6)&gt;0,('Profit &amp; Loss'!H10+'Profit &amp; Loss'!H9)*2/(G4+G5+G6+H4+H5+H6),"")</f>
        <v>8.9887779417706273E-2</v>
      </c>
      <c r="I24" s="14">
        <f>IF((H4+H5+H6+I4+I5+I6)&gt;0,('Profit &amp; Loss'!I10+'Profit &amp; Loss'!I9)*2/(H4+H5+H6+I4+I5+I6),"")</f>
        <v>0.13584856586936594</v>
      </c>
      <c r="J24" s="14">
        <f>IF((I4+I5+I6+J4+J5+J6)&gt;0,('Profit &amp; Loss'!J10+'Profit &amp; Loss'!J9)*2/(I4+I5+I6+J4+J5+J6),"")</f>
        <v>0.35534565804061374</v>
      </c>
      <c r="K24" s="14">
        <f>IF((J4+J5+J6+K4+K5+K6)&gt;0,('Profit &amp; Loss'!K10+'Profit &amp; Loss'!K9)*2/(J4+J5+J6+K4+K5+K6),"")</f>
        <v>0.32986628361955844</v>
      </c>
    </row>
    <row r="25" spans="1:11" s="18" customFormat="1" x14ac:dyDescent="0.3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TRENT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3">
      <c r="A4" s="8" t="s">
        <v>32</v>
      </c>
      <c r="B4" s="1">
        <f>'Data Sheet'!B82</f>
        <v>109.42</v>
      </c>
      <c r="C4" s="1">
        <f>'Data Sheet'!C82</f>
        <v>102.44</v>
      </c>
      <c r="D4" s="1">
        <f>'Data Sheet'!D82</f>
        <v>76.86</v>
      </c>
      <c r="E4" s="1">
        <f>'Data Sheet'!E82</f>
        <v>20.98</v>
      </c>
      <c r="F4" s="1">
        <f>'Data Sheet'!F82</f>
        <v>361.16</v>
      </c>
      <c r="G4" s="1">
        <f>'Data Sheet'!G82</f>
        <v>285.02999999999997</v>
      </c>
      <c r="H4" s="1">
        <f>'Data Sheet'!H82</f>
        <v>58.08</v>
      </c>
      <c r="I4" s="1">
        <f>'Data Sheet'!I82</f>
        <v>594.88</v>
      </c>
      <c r="J4" s="1">
        <f>'Data Sheet'!J82</f>
        <v>1348.98</v>
      </c>
      <c r="K4" s="1">
        <f>'Data Sheet'!K82</f>
        <v>1660.9</v>
      </c>
    </row>
    <row r="5" spans="1:11" x14ac:dyDescent="0.3">
      <c r="A5" s="6" t="s">
        <v>33</v>
      </c>
      <c r="B5" s="9">
        <f>'Data Sheet'!B83</f>
        <v>-98.4</v>
      </c>
      <c r="C5" s="9">
        <f>'Data Sheet'!C83</f>
        <v>-43.7</v>
      </c>
      <c r="D5" s="9">
        <f>'Data Sheet'!D83</f>
        <v>-4.0199999999999996</v>
      </c>
      <c r="E5" s="9">
        <f>'Data Sheet'!E83</f>
        <v>-37.03</v>
      </c>
      <c r="F5" s="9">
        <f>'Data Sheet'!F83</f>
        <v>-808.56</v>
      </c>
      <c r="G5" s="9">
        <f>'Data Sheet'!G83</f>
        <v>17.71</v>
      </c>
      <c r="H5" s="9">
        <f>'Data Sheet'!H83</f>
        <v>56.03</v>
      </c>
      <c r="I5" s="9">
        <f>'Data Sheet'!I83</f>
        <v>-102.63</v>
      </c>
      <c r="J5" s="9">
        <f>'Data Sheet'!J83</f>
        <v>-508.21</v>
      </c>
      <c r="K5" s="9">
        <f>'Data Sheet'!K83</f>
        <v>-923.31</v>
      </c>
    </row>
    <row r="6" spans="1:11" x14ac:dyDescent="0.3">
      <c r="A6" s="6" t="s">
        <v>34</v>
      </c>
      <c r="B6" s="9">
        <f>'Data Sheet'!B84</f>
        <v>-13.33</v>
      </c>
      <c r="C6" s="9">
        <f>'Data Sheet'!C84</f>
        <v>-51.36</v>
      </c>
      <c r="D6" s="9">
        <f>'Data Sheet'!D84</f>
        <v>-74.31</v>
      </c>
      <c r="E6" s="9">
        <f>'Data Sheet'!E84</f>
        <v>37.47</v>
      </c>
      <c r="F6" s="9">
        <f>'Data Sheet'!F84</f>
        <v>451.94</v>
      </c>
      <c r="G6" s="9">
        <f>'Data Sheet'!G84</f>
        <v>-283.11</v>
      </c>
      <c r="H6" s="9">
        <f>'Data Sheet'!H84</f>
        <v>-107.98</v>
      </c>
      <c r="I6" s="9">
        <f>'Data Sheet'!I84</f>
        <v>-491.41</v>
      </c>
      <c r="J6" s="9">
        <f>'Data Sheet'!J84</f>
        <v>-629.45000000000005</v>
      </c>
      <c r="K6" s="9">
        <f>'Data Sheet'!K84</f>
        <v>-693.67</v>
      </c>
    </row>
    <row r="7" spans="1:11" s="8" customFormat="1" x14ac:dyDescent="0.3">
      <c r="A7" s="8" t="s">
        <v>35</v>
      </c>
      <c r="B7" s="1">
        <f>'Data Sheet'!B85</f>
        <v>-2.31</v>
      </c>
      <c r="C7" s="1">
        <f>'Data Sheet'!C85</f>
        <v>7.38</v>
      </c>
      <c r="D7" s="1">
        <f>'Data Sheet'!D85</f>
        <v>-1.47</v>
      </c>
      <c r="E7" s="1">
        <f>'Data Sheet'!E85</f>
        <v>21.42</v>
      </c>
      <c r="F7" s="1">
        <f>'Data Sheet'!F85</f>
        <v>4.54</v>
      </c>
      <c r="G7" s="1">
        <f>'Data Sheet'!G85</f>
        <v>19.63</v>
      </c>
      <c r="H7" s="1">
        <f>'Data Sheet'!H85</f>
        <v>6.13</v>
      </c>
      <c r="I7" s="1">
        <f>'Data Sheet'!I85</f>
        <v>0.84</v>
      </c>
      <c r="J7" s="1">
        <f>'Data Sheet'!J85</f>
        <v>211.32</v>
      </c>
      <c r="K7" s="1">
        <f>'Data Sheet'!K85</f>
        <v>43.92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36" t="str">
        <f>IF(B2&lt;&gt;B3, "A NEW VERSION OF THE WORKSHEET IS AVAILABLE", "")</f>
        <v/>
      </c>
      <c r="F1" s="36"/>
      <c r="G1" s="36"/>
      <c r="H1" s="36"/>
      <c r="I1" s="36"/>
      <c r="J1" s="36"/>
      <c r="K1" s="36"/>
    </row>
    <row r="2" spans="1:11" x14ac:dyDescent="0.3">
      <c r="A2" s="1" t="s">
        <v>61</v>
      </c>
      <c r="B2" s="5">
        <v>2.1</v>
      </c>
      <c r="E2" s="37" t="s">
        <v>36</v>
      </c>
      <c r="F2" s="37"/>
      <c r="G2" s="37"/>
      <c r="H2" s="37"/>
      <c r="I2" s="37"/>
      <c r="J2" s="37"/>
      <c r="K2" s="37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35.493542531120333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3856</v>
      </c>
    </row>
    <row r="9" spans="1:11" x14ac:dyDescent="0.3">
      <c r="A9" s="5" t="s">
        <v>79</v>
      </c>
      <c r="B9">
        <v>136863.1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3">
      <c r="A17" s="9" t="s">
        <v>6</v>
      </c>
      <c r="B17">
        <v>1686.17</v>
      </c>
      <c r="C17">
        <v>1812.44</v>
      </c>
      <c r="D17">
        <v>2157.46</v>
      </c>
      <c r="E17">
        <v>2630.24</v>
      </c>
      <c r="F17">
        <v>3485.98</v>
      </c>
      <c r="G17">
        <v>2592.96</v>
      </c>
      <c r="H17">
        <v>4498.0200000000004</v>
      </c>
      <c r="I17">
        <v>8242.02</v>
      </c>
      <c r="J17">
        <v>12375.11</v>
      </c>
      <c r="K17">
        <v>17134.61</v>
      </c>
    </row>
    <row r="18" spans="1:11" s="9" customFormat="1" x14ac:dyDescent="0.3">
      <c r="A18" s="5" t="s">
        <v>80</v>
      </c>
      <c r="B18">
        <v>810.2</v>
      </c>
      <c r="C18">
        <v>911.22</v>
      </c>
      <c r="D18">
        <v>1070.02</v>
      </c>
      <c r="E18">
        <v>1459.67</v>
      </c>
      <c r="F18">
        <v>1951.64</v>
      </c>
      <c r="G18">
        <v>1371.64</v>
      </c>
      <c r="H18">
        <v>2920.38</v>
      </c>
      <c r="I18">
        <v>5211.05</v>
      </c>
      <c r="J18">
        <v>7123.6</v>
      </c>
      <c r="K18">
        <v>10143.39</v>
      </c>
    </row>
    <row r="19" spans="1:11" s="9" customFormat="1" x14ac:dyDescent="0.3">
      <c r="A19" s="5" t="s">
        <v>81</v>
      </c>
      <c r="B19">
        <v>14.59</v>
      </c>
      <c r="C19">
        <v>29.86</v>
      </c>
      <c r="D19">
        <v>38.51</v>
      </c>
      <c r="E19">
        <v>148.22999999999999</v>
      </c>
      <c r="F19">
        <v>69.89</v>
      </c>
      <c r="G19">
        <v>-162.36000000000001</v>
      </c>
      <c r="H19">
        <v>438.84</v>
      </c>
      <c r="I19">
        <v>491.31</v>
      </c>
      <c r="J19">
        <v>164.71</v>
      </c>
      <c r="K19">
        <v>454.25</v>
      </c>
    </row>
    <row r="20" spans="1:11" s="9" customFormat="1" x14ac:dyDescent="0.3">
      <c r="A20" s="5" t="s">
        <v>82</v>
      </c>
      <c r="B20">
        <v>48.92</v>
      </c>
      <c r="C20">
        <v>51.28</v>
      </c>
      <c r="D20">
        <v>52.75</v>
      </c>
      <c r="E20">
        <v>59.18</v>
      </c>
      <c r="F20">
        <v>66.64</v>
      </c>
      <c r="G20">
        <v>49.41</v>
      </c>
      <c r="H20">
        <v>71.89</v>
      </c>
      <c r="I20">
        <v>144.28</v>
      </c>
      <c r="J20">
        <v>229.16</v>
      </c>
      <c r="K20">
        <v>349.87</v>
      </c>
    </row>
    <row r="21" spans="1:11" s="9" customFormat="1" x14ac:dyDescent="0.3">
      <c r="A21" s="5" t="s">
        <v>83</v>
      </c>
      <c r="B21">
        <v>76.42</v>
      </c>
      <c r="C21">
        <v>81.91</v>
      </c>
      <c r="D21">
        <v>90.78</v>
      </c>
      <c r="E21">
        <v>122.09</v>
      </c>
      <c r="F21">
        <v>97.51</v>
      </c>
      <c r="G21">
        <v>92</v>
      </c>
      <c r="H21">
        <v>127.14</v>
      </c>
      <c r="I21">
        <v>211.99</v>
      </c>
      <c r="J21">
        <v>264.58999999999997</v>
      </c>
      <c r="K21">
        <v>369.79</v>
      </c>
    </row>
    <row r="22" spans="1:11" s="9" customFormat="1" x14ac:dyDescent="0.3">
      <c r="A22" s="5" t="s">
        <v>84</v>
      </c>
      <c r="B22">
        <v>165.69</v>
      </c>
      <c r="C22">
        <v>194.72</v>
      </c>
      <c r="D22">
        <v>233.02</v>
      </c>
      <c r="E22">
        <v>288.89</v>
      </c>
      <c r="F22">
        <v>361.01</v>
      </c>
      <c r="G22">
        <v>303.39999999999998</v>
      </c>
      <c r="H22">
        <v>402.92</v>
      </c>
      <c r="I22">
        <v>659.07</v>
      </c>
      <c r="J22">
        <v>1041.74</v>
      </c>
      <c r="K22">
        <v>1315.54</v>
      </c>
    </row>
    <row r="23" spans="1:11" s="9" customFormat="1" x14ac:dyDescent="0.3">
      <c r="A23" s="5" t="s">
        <v>85</v>
      </c>
      <c r="B23">
        <v>444.06</v>
      </c>
      <c r="C23">
        <v>407.07</v>
      </c>
      <c r="D23">
        <v>450.61</v>
      </c>
      <c r="E23">
        <v>514.41</v>
      </c>
      <c r="F23">
        <v>436.82</v>
      </c>
      <c r="G23">
        <v>364.62</v>
      </c>
      <c r="H23">
        <v>705.03</v>
      </c>
      <c r="I23">
        <v>1252.53</v>
      </c>
      <c r="J23">
        <v>1709.55</v>
      </c>
      <c r="K23">
        <v>2322.83</v>
      </c>
    </row>
    <row r="24" spans="1:11" s="9" customFormat="1" x14ac:dyDescent="0.3">
      <c r="A24" s="5" t="s">
        <v>86</v>
      </c>
      <c r="B24">
        <v>65.709999999999994</v>
      </c>
      <c r="C24">
        <v>62.57</v>
      </c>
      <c r="D24">
        <v>90.29</v>
      </c>
      <c r="E24">
        <v>93.59</v>
      </c>
      <c r="F24">
        <v>113.28</v>
      </c>
      <c r="G24">
        <v>135.66</v>
      </c>
      <c r="H24">
        <v>114.78</v>
      </c>
      <c r="I24">
        <v>140.26</v>
      </c>
      <c r="J24">
        <v>200.49</v>
      </c>
      <c r="K24">
        <v>267.48</v>
      </c>
    </row>
    <row r="25" spans="1:11" s="9" customFormat="1" x14ac:dyDescent="0.3">
      <c r="A25" s="9" t="s">
        <v>9</v>
      </c>
      <c r="B25">
        <v>86.44</v>
      </c>
      <c r="C25">
        <v>81.31</v>
      </c>
      <c r="D25">
        <v>27.47</v>
      </c>
      <c r="E25">
        <v>30.14</v>
      </c>
      <c r="F25">
        <v>146.63</v>
      </c>
      <c r="G25">
        <v>199.4</v>
      </c>
      <c r="H25">
        <v>152.16</v>
      </c>
      <c r="I25">
        <v>340.6</v>
      </c>
      <c r="J25">
        <v>988.91</v>
      </c>
      <c r="K25">
        <v>305.06</v>
      </c>
    </row>
    <row r="26" spans="1:11" s="9" customFormat="1" x14ac:dyDescent="0.3">
      <c r="A26" s="9" t="s">
        <v>10</v>
      </c>
      <c r="B26">
        <v>38.590000000000003</v>
      </c>
      <c r="C26">
        <v>41.29</v>
      </c>
      <c r="D26">
        <v>45.53</v>
      </c>
      <c r="E26">
        <v>51.67</v>
      </c>
      <c r="F26">
        <v>247.24</v>
      </c>
      <c r="G26">
        <v>257.3</v>
      </c>
      <c r="H26">
        <v>310.82</v>
      </c>
      <c r="I26">
        <v>493.69</v>
      </c>
      <c r="J26">
        <v>671.11</v>
      </c>
      <c r="K26">
        <v>895.18</v>
      </c>
    </row>
    <row r="27" spans="1:11" s="9" customFormat="1" x14ac:dyDescent="0.3">
      <c r="A27" s="9" t="s">
        <v>11</v>
      </c>
      <c r="B27">
        <v>47.73</v>
      </c>
      <c r="C27">
        <v>45.55</v>
      </c>
      <c r="D27">
        <v>43.78</v>
      </c>
      <c r="E27">
        <v>50.64</v>
      </c>
      <c r="F27">
        <v>263.37</v>
      </c>
      <c r="G27">
        <v>260.79000000000002</v>
      </c>
      <c r="H27">
        <v>324.83999999999997</v>
      </c>
      <c r="I27">
        <v>408.99</v>
      </c>
      <c r="J27">
        <v>367.66</v>
      </c>
      <c r="K27">
        <v>200.1</v>
      </c>
    </row>
    <row r="28" spans="1:11" s="9" customFormat="1" x14ac:dyDescent="0.3">
      <c r="A28" s="9" t="s">
        <v>12</v>
      </c>
      <c r="B28">
        <v>89.88</v>
      </c>
      <c r="C28">
        <v>128</v>
      </c>
      <c r="D28">
        <v>146.66</v>
      </c>
      <c r="E28">
        <v>168.47</v>
      </c>
      <c r="F28">
        <v>164.99</v>
      </c>
      <c r="G28">
        <v>-204.82</v>
      </c>
      <c r="H28">
        <v>111.22</v>
      </c>
      <c r="I28">
        <v>552.07000000000005</v>
      </c>
      <c r="J28">
        <v>1920.83</v>
      </c>
      <c r="K28">
        <v>2029.74</v>
      </c>
    </row>
    <row r="29" spans="1:11" s="9" customFormat="1" x14ac:dyDescent="0.3">
      <c r="A29" s="9" t="s">
        <v>13</v>
      </c>
      <c r="B29">
        <v>34.71</v>
      </c>
      <c r="C29">
        <v>43.05</v>
      </c>
      <c r="D29">
        <v>59.62</v>
      </c>
      <c r="E29">
        <v>73.61</v>
      </c>
      <c r="F29">
        <v>59.01</v>
      </c>
      <c r="G29">
        <v>-23.69</v>
      </c>
      <c r="H29">
        <v>76.62</v>
      </c>
      <c r="I29">
        <v>158.44</v>
      </c>
      <c r="J29">
        <v>443.37</v>
      </c>
      <c r="K29">
        <v>495.33</v>
      </c>
    </row>
    <row r="30" spans="1:11" s="9" customFormat="1" x14ac:dyDescent="0.3">
      <c r="A30" s="9" t="s">
        <v>14</v>
      </c>
      <c r="B30">
        <v>55.1</v>
      </c>
      <c r="C30">
        <v>84.86</v>
      </c>
      <c r="D30">
        <v>86.97</v>
      </c>
      <c r="E30">
        <v>96.96</v>
      </c>
      <c r="F30">
        <v>122.85</v>
      </c>
      <c r="G30">
        <v>-146.16999999999999</v>
      </c>
      <c r="H30">
        <v>105.83</v>
      </c>
      <c r="I30">
        <v>444.63</v>
      </c>
      <c r="J30">
        <v>1486.8</v>
      </c>
      <c r="K30">
        <v>1546.72</v>
      </c>
    </row>
    <row r="31" spans="1:11" s="9" customFormat="1" x14ac:dyDescent="0.3">
      <c r="A31" s="9" t="s">
        <v>70</v>
      </c>
      <c r="B31">
        <v>29.91</v>
      </c>
      <c r="C31">
        <v>33.229999999999997</v>
      </c>
      <c r="D31">
        <v>38.21</v>
      </c>
      <c r="E31">
        <v>43.2</v>
      </c>
      <c r="F31">
        <v>35.549999999999997</v>
      </c>
      <c r="G31">
        <v>21.33</v>
      </c>
      <c r="H31">
        <v>60.44</v>
      </c>
      <c r="I31">
        <v>78.209999999999994</v>
      </c>
      <c r="J31">
        <v>113.76</v>
      </c>
      <c r="K31">
        <v>177.75</v>
      </c>
    </row>
    <row r="32" spans="1:11" s="9" customFormat="1" x14ac:dyDescent="0.3"/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45199</v>
      </c>
      <c r="C41" s="16">
        <v>45291</v>
      </c>
      <c r="D41" s="16">
        <v>45382</v>
      </c>
      <c r="E41" s="16">
        <v>45473</v>
      </c>
      <c r="F41" s="16">
        <v>45565</v>
      </c>
      <c r="G41" s="16">
        <v>45657</v>
      </c>
      <c r="H41" s="16">
        <v>45747</v>
      </c>
      <c r="I41" s="16">
        <v>45838</v>
      </c>
      <c r="J41" s="16">
        <v>45930</v>
      </c>
      <c r="K41" s="16">
        <v>46022</v>
      </c>
    </row>
    <row r="42" spans="1:11" s="9" customFormat="1" x14ac:dyDescent="0.3">
      <c r="A42" s="9" t="s">
        <v>6</v>
      </c>
      <c r="B42">
        <v>2982.42</v>
      </c>
      <c r="C42">
        <v>3466.62</v>
      </c>
      <c r="D42">
        <v>3297.7</v>
      </c>
      <c r="E42">
        <v>4104.4399999999996</v>
      </c>
      <c r="F42">
        <v>4156.67</v>
      </c>
      <c r="G42">
        <v>4656.5600000000004</v>
      </c>
      <c r="H42">
        <v>4216.9399999999996</v>
      </c>
      <c r="I42">
        <v>4883.4799999999996</v>
      </c>
      <c r="J42">
        <v>4817.68</v>
      </c>
      <c r="K42">
        <v>5345.06</v>
      </c>
    </row>
    <row r="43" spans="1:11" s="9" customFormat="1" x14ac:dyDescent="0.3">
      <c r="A43" s="9" t="s">
        <v>7</v>
      </c>
      <c r="B43">
        <v>2525.85</v>
      </c>
      <c r="C43">
        <v>2838.1</v>
      </c>
      <c r="D43">
        <v>2828.06</v>
      </c>
      <c r="E43">
        <v>3491.09</v>
      </c>
      <c r="F43">
        <v>3510.95</v>
      </c>
      <c r="G43">
        <v>3809.19</v>
      </c>
      <c r="H43">
        <v>3566.03</v>
      </c>
      <c r="I43">
        <v>4035.62</v>
      </c>
      <c r="J43">
        <v>4001.7</v>
      </c>
      <c r="K43">
        <v>4263.99</v>
      </c>
    </row>
    <row r="44" spans="1:11" s="9" customFormat="1" x14ac:dyDescent="0.3">
      <c r="A44" s="9" t="s">
        <v>9</v>
      </c>
      <c r="B44">
        <v>105.42</v>
      </c>
      <c r="C44">
        <v>110.01</v>
      </c>
      <c r="D44">
        <v>694.87</v>
      </c>
      <c r="E44">
        <v>100.91</v>
      </c>
      <c r="F44">
        <v>51.04</v>
      </c>
      <c r="G44">
        <v>79.87</v>
      </c>
      <c r="H44">
        <v>74.34</v>
      </c>
      <c r="I44">
        <v>49.8</v>
      </c>
      <c r="J44">
        <v>27.55</v>
      </c>
      <c r="K44">
        <v>4.55</v>
      </c>
    </row>
    <row r="45" spans="1:11" s="9" customFormat="1" x14ac:dyDescent="0.3">
      <c r="A45" s="9" t="s">
        <v>10</v>
      </c>
      <c r="B45">
        <v>152.22</v>
      </c>
      <c r="C45">
        <v>164.53</v>
      </c>
      <c r="D45">
        <v>212.94</v>
      </c>
      <c r="E45">
        <v>181.32</v>
      </c>
      <c r="F45">
        <v>196.95</v>
      </c>
      <c r="G45">
        <v>244.93</v>
      </c>
      <c r="H45">
        <v>271.98</v>
      </c>
      <c r="I45">
        <v>292.93</v>
      </c>
      <c r="J45">
        <v>324.93</v>
      </c>
      <c r="K45">
        <v>366.74</v>
      </c>
    </row>
    <row r="46" spans="1:11" s="9" customFormat="1" x14ac:dyDescent="0.3">
      <c r="A46" s="9" t="s">
        <v>11</v>
      </c>
      <c r="B46">
        <v>95.45</v>
      </c>
      <c r="C46">
        <v>98.81</v>
      </c>
      <c r="D46">
        <v>32.54</v>
      </c>
      <c r="E46">
        <v>31.55</v>
      </c>
      <c r="F46">
        <v>33</v>
      </c>
      <c r="G46">
        <v>36.520000000000003</v>
      </c>
      <c r="H46">
        <v>37.520000000000003</v>
      </c>
      <c r="I46">
        <v>40.04</v>
      </c>
      <c r="J46">
        <v>41.62</v>
      </c>
      <c r="K46">
        <v>42.94</v>
      </c>
    </row>
    <row r="47" spans="1:11" s="9" customFormat="1" x14ac:dyDescent="0.3">
      <c r="A47" s="9" t="s">
        <v>12</v>
      </c>
      <c r="B47">
        <v>314.32</v>
      </c>
      <c r="C47">
        <v>475.19</v>
      </c>
      <c r="D47">
        <v>919.03</v>
      </c>
      <c r="E47">
        <v>501.39</v>
      </c>
      <c r="F47">
        <v>466.81</v>
      </c>
      <c r="G47">
        <v>645.79</v>
      </c>
      <c r="H47">
        <v>415.75</v>
      </c>
      <c r="I47">
        <v>564.69000000000005</v>
      </c>
      <c r="J47">
        <v>476.98</v>
      </c>
      <c r="K47">
        <v>675.94</v>
      </c>
    </row>
    <row r="48" spans="1:11" s="9" customFormat="1" x14ac:dyDescent="0.3">
      <c r="A48" s="9" t="s">
        <v>13</v>
      </c>
      <c r="B48">
        <v>86.26</v>
      </c>
      <c r="C48">
        <v>104.55</v>
      </c>
      <c r="D48">
        <v>206.94</v>
      </c>
      <c r="E48">
        <v>110.18</v>
      </c>
      <c r="F48">
        <v>131.75</v>
      </c>
      <c r="G48">
        <v>149.25</v>
      </c>
      <c r="H48">
        <v>104.15</v>
      </c>
      <c r="I48">
        <v>139.99</v>
      </c>
      <c r="J48">
        <v>103.56</v>
      </c>
      <c r="K48">
        <v>165.83</v>
      </c>
    </row>
    <row r="49" spans="1:11" s="9" customFormat="1" x14ac:dyDescent="0.3">
      <c r="A49" s="9" t="s">
        <v>14</v>
      </c>
      <c r="B49">
        <v>234.73</v>
      </c>
      <c r="C49">
        <v>374.36</v>
      </c>
      <c r="D49">
        <v>704.23</v>
      </c>
      <c r="E49">
        <v>392.57</v>
      </c>
      <c r="F49">
        <v>338.75</v>
      </c>
      <c r="G49">
        <v>497.25</v>
      </c>
      <c r="H49">
        <v>318.14999999999998</v>
      </c>
      <c r="I49">
        <v>429.69</v>
      </c>
      <c r="J49">
        <v>376.86</v>
      </c>
      <c r="K49">
        <v>512.77</v>
      </c>
    </row>
    <row r="50" spans="1:11" x14ac:dyDescent="0.3">
      <c r="A50" s="9" t="s">
        <v>8</v>
      </c>
      <c r="B50">
        <v>456.57</v>
      </c>
      <c r="C50">
        <v>628.52</v>
      </c>
      <c r="D50">
        <v>469.64</v>
      </c>
      <c r="E50">
        <v>613.35</v>
      </c>
      <c r="F50">
        <v>645.72</v>
      </c>
      <c r="G50">
        <v>847.37</v>
      </c>
      <c r="H50">
        <v>650.91</v>
      </c>
      <c r="I50">
        <v>847.86</v>
      </c>
      <c r="J50">
        <v>815.98</v>
      </c>
      <c r="K50">
        <v>1081.07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3">
      <c r="A57" s="9" t="s">
        <v>24</v>
      </c>
      <c r="B57">
        <v>33.229999999999997</v>
      </c>
      <c r="C57">
        <v>33.229999999999997</v>
      </c>
      <c r="D57">
        <v>33.229999999999997</v>
      </c>
      <c r="E57">
        <v>33.229999999999997</v>
      </c>
      <c r="F57">
        <v>35.549999999999997</v>
      </c>
      <c r="G57">
        <v>35.549999999999997</v>
      </c>
      <c r="H57">
        <v>35.549999999999997</v>
      </c>
      <c r="I57">
        <v>35.549999999999997</v>
      </c>
      <c r="J57">
        <v>35.549999999999997</v>
      </c>
      <c r="K57">
        <v>35.549999999999997</v>
      </c>
    </row>
    <row r="58" spans="1:11" x14ac:dyDescent="0.3">
      <c r="A58" s="9" t="s">
        <v>25</v>
      </c>
      <c r="B58">
        <v>1431.16</v>
      </c>
      <c r="C58">
        <v>1514.46</v>
      </c>
      <c r="D58">
        <v>1562.14</v>
      </c>
      <c r="E58">
        <v>1613.28</v>
      </c>
      <c r="F58">
        <v>2352.2199999999998</v>
      </c>
      <c r="G58">
        <v>2277.48</v>
      </c>
      <c r="H58">
        <v>2328.4499999999998</v>
      </c>
      <c r="I58">
        <v>2559.94</v>
      </c>
      <c r="J58">
        <v>4032.19</v>
      </c>
      <c r="K58">
        <v>5426.19</v>
      </c>
    </row>
    <row r="59" spans="1:11" x14ac:dyDescent="0.3">
      <c r="A59" s="9" t="s">
        <v>71</v>
      </c>
      <c r="B59">
        <v>399.8</v>
      </c>
      <c r="C59">
        <v>391.74</v>
      </c>
      <c r="D59">
        <v>391.43</v>
      </c>
      <c r="E59">
        <v>494.14</v>
      </c>
      <c r="F59">
        <v>299.74</v>
      </c>
      <c r="G59">
        <v>299.93</v>
      </c>
      <c r="H59">
        <v>4725.3599999999997</v>
      </c>
      <c r="I59">
        <v>4464.1400000000003</v>
      </c>
      <c r="J59">
        <v>1752.99</v>
      </c>
      <c r="K59">
        <v>2237.19</v>
      </c>
    </row>
    <row r="60" spans="1:11" x14ac:dyDescent="0.3">
      <c r="A60" s="9" t="s">
        <v>72</v>
      </c>
      <c r="B60">
        <v>292.39999999999998</v>
      </c>
      <c r="C60">
        <v>282.82</v>
      </c>
      <c r="D60">
        <v>349.06</v>
      </c>
      <c r="E60">
        <v>418.11</v>
      </c>
      <c r="F60">
        <v>2819.17</v>
      </c>
      <c r="G60">
        <v>3110.77</v>
      </c>
      <c r="H60">
        <v>636.66</v>
      </c>
      <c r="I60">
        <v>1021.9</v>
      </c>
      <c r="J60">
        <v>1341.02</v>
      </c>
      <c r="K60">
        <v>1720.71</v>
      </c>
    </row>
    <row r="61" spans="1:11" s="1" customFormat="1" x14ac:dyDescent="0.3">
      <c r="A61" s="1" t="s">
        <v>26</v>
      </c>
      <c r="B61">
        <v>2156.59</v>
      </c>
      <c r="C61">
        <v>2222.25</v>
      </c>
      <c r="D61">
        <v>2335.86</v>
      </c>
      <c r="E61">
        <v>2558.7600000000002</v>
      </c>
      <c r="F61">
        <v>5506.68</v>
      </c>
      <c r="G61">
        <v>5723.73</v>
      </c>
      <c r="H61">
        <v>7726.02</v>
      </c>
      <c r="I61">
        <v>8081.53</v>
      </c>
      <c r="J61">
        <v>7161.75</v>
      </c>
      <c r="K61">
        <v>9419.64</v>
      </c>
    </row>
    <row r="62" spans="1:11" x14ac:dyDescent="0.3">
      <c r="A62" s="9" t="s">
        <v>27</v>
      </c>
      <c r="B62">
        <v>476.79</v>
      </c>
      <c r="C62">
        <v>548.71</v>
      </c>
      <c r="D62">
        <v>612.53</v>
      </c>
      <c r="E62">
        <v>662.18</v>
      </c>
      <c r="F62">
        <v>2738.43</v>
      </c>
      <c r="G62">
        <v>3053.82</v>
      </c>
      <c r="H62">
        <v>4686.71</v>
      </c>
      <c r="I62">
        <v>4526.95</v>
      </c>
      <c r="J62">
        <v>2449.92</v>
      </c>
      <c r="K62">
        <v>3895.13</v>
      </c>
    </row>
    <row r="63" spans="1:11" x14ac:dyDescent="0.3">
      <c r="A63" s="9" t="s">
        <v>28</v>
      </c>
      <c r="B63">
        <v>54.86</v>
      </c>
      <c r="C63">
        <v>5.48</v>
      </c>
      <c r="D63">
        <v>9.59</v>
      </c>
      <c r="E63">
        <v>87.18</v>
      </c>
      <c r="F63">
        <v>23.32</v>
      </c>
      <c r="G63">
        <v>107.98</v>
      </c>
      <c r="H63">
        <v>104.72</v>
      </c>
      <c r="I63">
        <v>101.72</v>
      </c>
      <c r="J63">
        <v>223.78</v>
      </c>
      <c r="K63">
        <v>179.5</v>
      </c>
    </row>
    <row r="64" spans="1:11" x14ac:dyDescent="0.3">
      <c r="A64" s="9" t="s">
        <v>29</v>
      </c>
      <c r="B64">
        <v>1066.97</v>
      </c>
      <c r="C64">
        <v>1079.96</v>
      </c>
      <c r="D64">
        <v>1022.88</v>
      </c>
      <c r="E64">
        <v>882.83</v>
      </c>
      <c r="F64">
        <v>1514.78</v>
      </c>
      <c r="G64">
        <v>1487.29</v>
      </c>
      <c r="H64">
        <v>1283.72</v>
      </c>
      <c r="I64">
        <v>1109.8699999999999</v>
      </c>
      <c r="J64">
        <v>1416.03</v>
      </c>
      <c r="K64">
        <v>1480.25</v>
      </c>
    </row>
    <row r="65" spans="1:11" x14ac:dyDescent="0.3">
      <c r="A65" s="9" t="s">
        <v>73</v>
      </c>
      <c r="B65">
        <v>557.97</v>
      </c>
      <c r="C65">
        <v>588.1</v>
      </c>
      <c r="D65">
        <v>690.86</v>
      </c>
      <c r="E65">
        <v>926.57</v>
      </c>
      <c r="F65">
        <v>1230.1500000000001</v>
      </c>
      <c r="G65">
        <v>1074.6400000000001</v>
      </c>
      <c r="H65">
        <v>1650.87</v>
      </c>
      <c r="I65">
        <v>2342.9899999999998</v>
      </c>
      <c r="J65">
        <v>3072.02</v>
      </c>
      <c r="K65">
        <v>3864.76</v>
      </c>
    </row>
    <row r="66" spans="1:11" s="1" customFormat="1" x14ac:dyDescent="0.3">
      <c r="A66" s="1" t="s">
        <v>26</v>
      </c>
      <c r="B66">
        <v>2156.59</v>
      </c>
      <c r="C66">
        <v>2222.25</v>
      </c>
      <c r="D66">
        <v>2335.86</v>
      </c>
      <c r="E66">
        <v>2558.7600000000002</v>
      </c>
      <c r="F66">
        <v>5506.68</v>
      </c>
      <c r="G66">
        <v>5723.73</v>
      </c>
      <c r="H66">
        <v>7726.02</v>
      </c>
      <c r="I66">
        <v>8081.53</v>
      </c>
      <c r="J66">
        <v>7161.75</v>
      </c>
      <c r="K66">
        <v>9419.64</v>
      </c>
    </row>
    <row r="67" spans="1:11" s="9" customFormat="1" x14ac:dyDescent="0.3">
      <c r="A67" s="9" t="s">
        <v>78</v>
      </c>
      <c r="B67">
        <v>12.99</v>
      </c>
      <c r="C67">
        <v>5.92</v>
      </c>
      <c r="D67">
        <v>15.1</v>
      </c>
      <c r="E67">
        <v>16.54</v>
      </c>
      <c r="F67">
        <v>17.12</v>
      </c>
      <c r="G67">
        <v>20.77</v>
      </c>
      <c r="H67">
        <v>18.260000000000002</v>
      </c>
      <c r="I67">
        <v>34.39</v>
      </c>
      <c r="J67">
        <v>81.739999999999995</v>
      </c>
      <c r="K67">
        <v>62.95</v>
      </c>
    </row>
    <row r="68" spans="1:11" x14ac:dyDescent="0.3">
      <c r="A68" s="9" t="s">
        <v>45</v>
      </c>
      <c r="B68">
        <v>279.19</v>
      </c>
      <c r="C68">
        <v>305.36</v>
      </c>
      <c r="D68">
        <v>344.77</v>
      </c>
      <c r="E68">
        <v>497.01</v>
      </c>
      <c r="F68">
        <v>607.80999999999995</v>
      </c>
      <c r="G68">
        <v>428.39</v>
      </c>
      <c r="H68">
        <v>867.78</v>
      </c>
      <c r="I68">
        <v>1361.16</v>
      </c>
      <c r="J68">
        <v>1582.73</v>
      </c>
      <c r="K68">
        <v>2045.05</v>
      </c>
    </row>
    <row r="69" spans="1:11" x14ac:dyDescent="0.3">
      <c r="A69" s="5" t="s">
        <v>87</v>
      </c>
      <c r="B69">
        <v>26.9</v>
      </c>
      <c r="C69">
        <v>34.28</v>
      </c>
      <c r="D69">
        <v>32.81</v>
      </c>
      <c r="E69">
        <v>54.23</v>
      </c>
      <c r="F69">
        <v>61.41</v>
      </c>
      <c r="G69">
        <v>81.47</v>
      </c>
      <c r="H69">
        <v>85.97</v>
      </c>
      <c r="I69">
        <v>86.3</v>
      </c>
      <c r="J69">
        <v>297.56</v>
      </c>
      <c r="K69">
        <v>339.84</v>
      </c>
    </row>
    <row r="70" spans="1:11" x14ac:dyDescent="0.3">
      <c r="A70" s="5" t="s">
        <v>74</v>
      </c>
      <c r="B70">
        <v>33231673</v>
      </c>
      <c r="C70">
        <v>332316730</v>
      </c>
      <c r="D70">
        <v>332316730</v>
      </c>
      <c r="E70">
        <v>332316730</v>
      </c>
      <c r="F70">
        <v>355487461</v>
      </c>
      <c r="G70">
        <v>355487461</v>
      </c>
      <c r="H70">
        <v>355487461</v>
      </c>
      <c r="I70">
        <v>355487461</v>
      </c>
      <c r="J70">
        <v>355487461</v>
      </c>
      <c r="K70">
        <v>355487461</v>
      </c>
    </row>
    <row r="71" spans="1:11" x14ac:dyDescent="0.3">
      <c r="A71" s="5" t="s">
        <v>75</v>
      </c>
    </row>
    <row r="72" spans="1:11" x14ac:dyDescent="0.3">
      <c r="A72" s="5" t="s">
        <v>88</v>
      </c>
      <c r="B72">
        <v>10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/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3">
      <c r="A82" s="9" t="s">
        <v>32</v>
      </c>
      <c r="B82">
        <v>109.42</v>
      </c>
      <c r="C82">
        <v>102.44</v>
      </c>
      <c r="D82">
        <v>76.86</v>
      </c>
      <c r="E82">
        <v>20.98</v>
      </c>
      <c r="F82">
        <v>361.16</v>
      </c>
      <c r="G82">
        <v>285.02999999999997</v>
      </c>
      <c r="H82">
        <v>58.08</v>
      </c>
      <c r="I82">
        <v>594.88</v>
      </c>
      <c r="J82">
        <v>1348.98</v>
      </c>
      <c r="K82">
        <v>1660.9</v>
      </c>
    </row>
    <row r="83" spans="1:11" s="9" customFormat="1" x14ac:dyDescent="0.3">
      <c r="A83" s="9" t="s">
        <v>33</v>
      </c>
      <c r="B83">
        <v>-98.4</v>
      </c>
      <c r="C83">
        <v>-43.7</v>
      </c>
      <c r="D83">
        <v>-4.0199999999999996</v>
      </c>
      <c r="E83">
        <v>-37.03</v>
      </c>
      <c r="F83">
        <v>-808.56</v>
      </c>
      <c r="G83">
        <v>17.71</v>
      </c>
      <c r="H83">
        <v>56.03</v>
      </c>
      <c r="I83">
        <v>-102.63</v>
      </c>
      <c r="J83">
        <v>-508.21</v>
      </c>
      <c r="K83">
        <v>-923.31</v>
      </c>
    </row>
    <row r="84" spans="1:11" s="9" customFormat="1" x14ac:dyDescent="0.3">
      <c r="A84" s="9" t="s">
        <v>34</v>
      </c>
      <c r="B84">
        <v>-13.33</v>
      </c>
      <c r="C84">
        <v>-51.36</v>
      </c>
      <c r="D84">
        <v>-74.31</v>
      </c>
      <c r="E84">
        <v>37.47</v>
      </c>
      <c r="F84">
        <v>451.94</v>
      </c>
      <c r="G84">
        <v>-283.11</v>
      </c>
      <c r="H84">
        <v>-107.98</v>
      </c>
      <c r="I84">
        <v>-491.41</v>
      </c>
      <c r="J84">
        <v>-629.45000000000005</v>
      </c>
      <c r="K84">
        <v>-693.67</v>
      </c>
    </row>
    <row r="85" spans="1:11" s="1" customFormat="1" x14ac:dyDescent="0.3">
      <c r="A85" s="9" t="s">
        <v>35</v>
      </c>
      <c r="B85">
        <v>-2.31</v>
      </c>
      <c r="C85">
        <v>7.38</v>
      </c>
      <c r="D85">
        <v>-1.47</v>
      </c>
      <c r="E85">
        <v>21.42</v>
      </c>
      <c r="F85">
        <v>4.54</v>
      </c>
      <c r="G85">
        <v>19.63</v>
      </c>
      <c r="H85">
        <v>6.13</v>
      </c>
      <c r="I85">
        <v>0.84</v>
      </c>
      <c r="J85">
        <v>211.32</v>
      </c>
      <c r="K85">
        <v>43.92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159.18</v>
      </c>
      <c r="C90">
        <v>266.7</v>
      </c>
      <c r="D90">
        <v>345.05</v>
      </c>
      <c r="E90">
        <v>361.9</v>
      </c>
      <c r="F90">
        <v>484.35</v>
      </c>
      <c r="G90">
        <v>751.05</v>
      </c>
      <c r="H90">
        <v>1275.5</v>
      </c>
      <c r="I90">
        <v>1374.95</v>
      </c>
      <c r="J90">
        <v>3948</v>
      </c>
      <c r="K90">
        <v>5325.15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33.229999999999997</v>
      </c>
      <c r="C93" s="31">
        <v>33.229999999999997</v>
      </c>
      <c r="D93" s="31">
        <v>33.229999999999997</v>
      </c>
      <c r="E93" s="31">
        <v>33.229999999999997</v>
      </c>
      <c r="F93" s="31">
        <v>35.549999999999997</v>
      </c>
      <c r="G93" s="31">
        <v>35.549999999999997</v>
      </c>
      <c r="H93" s="31">
        <v>35.549999999999997</v>
      </c>
      <c r="I93" s="31">
        <v>35.549999999999997</v>
      </c>
      <c r="J93" s="31">
        <v>35.549999999999997</v>
      </c>
      <c r="K93" s="31">
        <v>35.549999999999997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35"/>
  <sheetViews>
    <sheetView showGridLines="0" tabSelected="1" workbookViewId="0">
      <selection activeCell="F39" sqref="F39"/>
    </sheetView>
  </sheetViews>
  <sheetFormatPr defaultRowHeight="14.4" x14ac:dyDescent="0.3"/>
  <cols>
    <col min="2" max="2" width="27.88671875" customWidth="1"/>
    <col min="3" max="3" width="4.44140625" customWidth="1"/>
    <col min="8" max="8" width="10.33203125" customWidth="1"/>
  </cols>
  <sheetData>
    <row r="2" spans="1:15" x14ac:dyDescent="0.3">
      <c r="O2" s="33"/>
    </row>
    <row r="4" spans="1:15" x14ac:dyDescent="0.3">
      <c r="B4" s="32" t="s">
        <v>93</v>
      </c>
    </row>
    <row r="11" spans="1:15" ht="28.2" customHeight="1" x14ac:dyDescent="0.55000000000000004">
      <c r="A11" s="35" t="s">
        <v>94</v>
      </c>
      <c r="B11" s="35"/>
    </row>
    <row r="12" spans="1:15" ht="19.2" customHeight="1" x14ac:dyDescent="0.55000000000000004">
      <c r="A12" s="34"/>
      <c r="B12" s="34"/>
    </row>
    <row r="13" spans="1:15" ht="18" customHeight="1" x14ac:dyDescent="0.55000000000000004">
      <c r="A13" s="34"/>
      <c r="B13" s="34"/>
    </row>
    <row r="21" spans="1:5" ht="31.2" x14ac:dyDescent="0.6">
      <c r="A21" s="38" t="s">
        <v>95</v>
      </c>
      <c r="B21" s="39"/>
      <c r="C21" s="39"/>
      <c r="D21" s="39"/>
      <c r="E21" s="39"/>
    </row>
    <row r="22" spans="1:5" x14ac:dyDescent="0.3">
      <c r="A22" s="39"/>
      <c r="B22" s="39"/>
      <c r="C22" s="39"/>
      <c r="D22" s="39"/>
      <c r="E22" s="39"/>
    </row>
    <row r="33" spans="2:6" ht="25.8" x14ac:dyDescent="0.5">
      <c r="B33" s="41" t="s">
        <v>96</v>
      </c>
      <c r="C33" s="40"/>
    </row>
    <row r="35" spans="2:6" x14ac:dyDescent="0.3">
      <c r="B35" t="s">
        <v>97</v>
      </c>
      <c r="F35" t="s">
        <v>98</v>
      </c>
    </row>
  </sheetData>
  <printOptions gridLines="1"/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Profit &amp; Loss</vt:lpstr>
      <vt:lpstr>Quarters</vt:lpstr>
      <vt:lpstr>Balance Sheet</vt:lpstr>
      <vt:lpstr>Cash Flow</vt:lpstr>
      <vt:lpstr>Customization</vt:lpstr>
      <vt:lpstr>Data Sheet</vt:lpstr>
      <vt:lpstr>Sheet1</vt:lpstr>
      <vt:lpstr>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user</cp:lastModifiedBy>
  <cp:lastPrinted>2012-12-06T18:14:13Z</cp:lastPrinted>
  <dcterms:created xsi:type="dcterms:W3CDTF">2012-08-17T09:55:37Z</dcterms:created>
  <dcterms:modified xsi:type="dcterms:W3CDTF">2026-06-23T03:20:13Z</dcterms:modified>
</cp:coreProperties>
</file>