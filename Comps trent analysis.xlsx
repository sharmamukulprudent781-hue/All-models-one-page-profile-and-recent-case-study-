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1" l="1"/>
  <c r="L21" i="1"/>
  <c r="G21" i="1"/>
  <c r="E27" i="1" s="1"/>
  <c r="D21" i="1"/>
  <c r="G27" i="1" s="1" a="1"/>
  <c r="G27" i="1" s="1"/>
  <c r="N11" i="1"/>
  <c r="N12" i="1"/>
  <c r="N13" i="1"/>
  <c r="N14" i="1"/>
  <c r="N15" i="1"/>
  <c r="N10" i="1"/>
  <c r="M11" i="1"/>
  <c r="M12" i="1"/>
  <c r="M13" i="1"/>
  <c r="M14" i="1"/>
  <c r="M15" i="1"/>
  <c r="M10" i="1"/>
  <c r="K11" i="1"/>
  <c r="K12" i="1"/>
  <c r="K13" i="1"/>
  <c r="K14" i="1"/>
  <c r="K15" i="1"/>
  <c r="K10" i="1"/>
  <c r="I11" i="1"/>
  <c r="I12" i="1"/>
  <c r="I13" i="1"/>
  <c r="I14" i="1"/>
  <c r="I15" i="1"/>
  <c r="I10" i="1"/>
  <c r="H11" i="1"/>
  <c r="H12" i="1"/>
  <c r="H13" i="1"/>
  <c r="H14" i="1"/>
  <c r="H15" i="1"/>
  <c r="H10" i="1"/>
  <c r="F11" i="1"/>
  <c r="F12" i="1"/>
  <c r="F13" i="1"/>
  <c r="F14" i="1"/>
  <c r="F15" i="1"/>
  <c r="F10" i="1"/>
  <c r="E11" i="1"/>
  <c r="E12" i="1"/>
  <c r="E13" i="1"/>
  <c r="E14" i="1"/>
  <c r="E15" i="1"/>
  <c r="E10" i="1"/>
  <c r="C11" i="1"/>
  <c r="C12" i="1"/>
  <c r="C13" i="1"/>
  <c r="C14" i="1"/>
  <c r="C15" i="1"/>
  <c r="C10" i="1"/>
  <c r="B11" i="1"/>
  <c r="B12" i="1"/>
  <c r="B13" i="1"/>
  <c r="B14" i="1"/>
  <c r="B15" i="1"/>
  <c r="B10" i="1"/>
  <c r="J14" i="1" l="1"/>
  <c r="M18" i="1"/>
  <c r="M17" i="1"/>
  <c r="N17" i="1"/>
  <c r="N18" i="1"/>
  <c r="D10" i="1"/>
  <c r="D12" i="1"/>
  <c r="D14" i="1"/>
  <c r="G29" i="1"/>
  <c r="G28" i="1"/>
  <c r="D15" i="1"/>
  <c r="D11" i="1"/>
  <c r="J15" i="1"/>
  <c r="J11" i="1"/>
  <c r="L13" i="1"/>
  <c r="J13" i="1"/>
  <c r="D13" i="1"/>
  <c r="G13" i="1"/>
  <c r="G15" i="1"/>
  <c r="L10" i="1"/>
  <c r="G12" i="1"/>
  <c r="G11" i="1"/>
  <c r="L12" i="1"/>
  <c r="G14" i="1"/>
  <c r="J10" i="1"/>
  <c r="J12" i="1"/>
  <c r="L15" i="1"/>
  <c r="L11" i="1"/>
  <c r="L14" i="1"/>
  <c r="G10" i="1"/>
  <c r="L18" i="1" l="1"/>
  <c r="C27" i="1" s="1" a="1"/>
  <c r="L17" i="1"/>
  <c r="C27" i="1" l="1"/>
  <c r="D27" i="1" s="1"/>
  <c r="F27" i="1" s="1"/>
  <c r="H27" i="1" s="1"/>
  <c r="C29" i="1"/>
  <c r="F29" i="1" s="1"/>
  <c r="C28" i="1"/>
  <c r="D28" i="1" s="1"/>
  <c r="F28" i="1" s="1"/>
  <c r="H28" i="1" s="1"/>
  <c r="D29" i="1" l="1"/>
  <c r="H29" i="1"/>
</calcChain>
</file>

<file path=xl/sharedStrings.xml><?xml version="1.0" encoding="utf-8"?>
<sst xmlns="http://schemas.openxmlformats.org/spreadsheetml/2006/main" count="72" uniqueCount="64">
  <si>
    <t>COMPANY  COMPARABLE  ANALYSIS</t>
  </si>
  <si>
    <t>S.No.</t>
  </si>
  <si>
    <t>Name</t>
  </si>
  <si>
    <r>
      <t>CMP </t>
    </r>
    <r>
      <rPr>
        <sz val="11"/>
        <color rgb="FF737373"/>
        <rFont val="Arial"/>
        <family val="2"/>
      </rPr>
      <t>Rs.</t>
    </r>
  </si>
  <si>
    <t>P/E</t>
  </si>
  <si>
    <r>
      <t>Mar Cap </t>
    </r>
    <r>
      <rPr>
        <sz val="11"/>
        <color rgb="FF737373"/>
        <rFont val="Arial"/>
        <family val="2"/>
      </rPr>
      <t>Rs.Cr.</t>
    </r>
  </si>
  <si>
    <r>
      <t>NP Qtr </t>
    </r>
    <r>
      <rPr>
        <sz val="11"/>
        <color rgb="FF737373"/>
        <rFont val="Arial"/>
        <family val="2"/>
      </rPr>
      <t>Rs.Cr.</t>
    </r>
  </si>
  <si>
    <r>
      <t>Qtr Profit Var </t>
    </r>
    <r>
      <rPr>
        <sz val="11"/>
        <color rgb="FF737373"/>
        <rFont val="Arial"/>
        <family val="2"/>
      </rPr>
      <t>%</t>
    </r>
  </si>
  <si>
    <r>
      <t>Sales Qtr </t>
    </r>
    <r>
      <rPr>
        <sz val="11"/>
        <color rgb="FF737373"/>
        <rFont val="Arial"/>
        <family val="2"/>
      </rPr>
      <t>Rs.Cr.</t>
    </r>
  </si>
  <si>
    <r>
      <t>ROCE </t>
    </r>
    <r>
      <rPr>
        <sz val="11"/>
        <color rgb="FF737373"/>
        <rFont val="Arial"/>
        <family val="2"/>
      </rPr>
      <t>%</t>
    </r>
  </si>
  <si>
    <r>
      <t>Debt </t>
    </r>
    <r>
      <rPr>
        <sz val="11"/>
        <color rgb="FF737373"/>
        <rFont val="Arial"/>
        <family val="2"/>
      </rPr>
      <t>Rs.Cr.</t>
    </r>
  </si>
  <si>
    <t>EV / EBIT</t>
  </si>
  <si>
    <r>
      <t>Sales </t>
    </r>
    <r>
      <rPr>
        <sz val="11"/>
        <color rgb="FF737373"/>
        <rFont val="Arial"/>
        <family val="2"/>
      </rPr>
      <t>Rs.Cr.</t>
    </r>
  </si>
  <si>
    <t>Ind PE</t>
  </si>
  <si>
    <t>EV / EBITDA</t>
  </si>
  <si>
    <r>
      <t>EV </t>
    </r>
    <r>
      <rPr>
        <sz val="11"/>
        <color rgb="FF737373"/>
        <rFont val="Arial"/>
        <family val="2"/>
      </rPr>
      <t>Rs.Cr.</t>
    </r>
  </si>
  <si>
    <r>
      <t>PAT 12M </t>
    </r>
    <r>
      <rPr>
        <sz val="11"/>
        <color rgb="FF737373"/>
        <rFont val="Arial"/>
        <family val="2"/>
      </rPr>
      <t>Rs.Cr.</t>
    </r>
  </si>
  <si>
    <r>
      <t>NP 12M </t>
    </r>
    <r>
      <rPr>
        <sz val="11"/>
        <color rgb="FF737373"/>
        <rFont val="Arial"/>
        <family val="2"/>
      </rPr>
      <t>Rs.Cr.</t>
    </r>
  </si>
  <si>
    <t>Trent</t>
  </si>
  <si>
    <t>Lenskart Solut.</t>
  </si>
  <si>
    <t>A B Lifestyle</t>
  </si>
  <si>
    <t>Vedant Fashions</t>
  </si>
  <si>
    <t>Aditya Vision</t>
  </si>
  <si>
    <t>V2 Retail</t>
  </si>
  <si>
    <t>Aditya Bir. Fas.</t>
  </si>
  <si>
    <t xml:space="preserve">Company Name  Price </t>
  </si>
  <si>
    <t xml:space="preserve">Share(in Crs) </t>
  </si>
  <si>
    <t>Mkt CAPS</t>
  </si>
  <si>
    <t>DEBTS</t>
  </si>
  <si>
    <t>Cash &amp; Cash</t>
  </si>
  <si>
    <t>Equivalance</t>
  </si>
  <si>
    <t xml:space="preserve">    EV</t>
  </si>
  <si>
    <t>Sales</t>
  </si>
  <si>
    <t>EBITDA</t>
  </si>
  <si>
    <t>EARNINGS</t>
  </si>
  <si>
    <t>EV/SALES</t>
  </si>
  <si>
    <t>EV/EBITDA</t>
  </si>
  <si>
    <t>MARKET   DATA</t>
  </si>
  <si>
    <t>FINANCIAL DATA</t>
  </si>
  <si>
    <t>VALUATIONS</t>
  </si>
  <si>
    <t>CMP(₹)</t>
  </si>
  <si>
    <t>(₹) in Crs</t>
  </si>
  <si>
    <t>S.NO</t>
  </si>
  <si>
    <t xml:space="preserve">AVERAGE </t>
  </si>
  <si>
    <t>MEDIAN</t>
  </si>
  <si>
    <t>TRENT LIMITED</t>
  </si>
  <si>
    <t xml:space="preserve">METRIC </t>
  </si>
  <si>
    <t>NET DEBT</t>
  </si>
  <si>
    <t>EQUITY VALUE</t>
  </si>
  <si>
    <t>SHARE PRICE</t>
  </si>
  <si>
    <t>PRICE/EARNING</t>
  </si>
  <si>
    <t>Sum</t>
  </si>
  <si>
    <t>Average</t>
  </si>
  <si>
    <t>Running Total</t>
  </si>
  <si>
    <t>Count</t>
  </si>
  <si>
    <t xml:space="preserve">       EV </t>
  </si>
  <si>
    <r>
      <t xml:space="preserve">         (</t>
    </r>
    <r>
      <rPr>
        <b/>
        <sz val="11"/>
        <color theme="1"/>
        <rFont val="Calibri"/>
        <family val="2"/>
      </rPr>
      <t>₹)</t>
    </r>
  </si>
  <si>
    <t xml:space="preserve">          COMPS</t>
  </si>
  <si>
    <t xml:space="preserve">     SHARE </t>
  </si>
  <si>
    <t xml:space="preserve">         (Crs)</t>
  </si>
  <si>
    <r>
      <t xml:space="preserve">       (</t>
    </r>
    <r>
      <rPr>
        <b/>
        <sz val="11"/>
        <color theme="1"/>
        <rFont val="Calibri"/>
        <family val="2"/>
      </rPr>
      <t>₹)</t>
    </r>
  </si>
  <si>
    <t xml:space="preserve">INVESTMENT RECOMMENDATION </t>
  </si>
  <si>
    <t xml:space="preserve">IN Comps analysis ,we just conclude that share price of company is undervalued  I future there is probably growth of around </t>
  </si>
  <si>
    <r>
      <t xml:space="preserve">15%.so our recommendation is </t>
    </r>
    <r>
      <rPr>
        <b/>
        <sz val="11"/>
        <color theme="1"/>
        <rFont val="Calibri"/>
        <family val="2"/>
        <scheme val="minor"/>
      </rPr>
      <t>buy</t>
    </r>
    <r>
      <rPr>
        <sz val="11"/>
        <color theme="1"/>
        <rFont val="Calibri"/>
        <family val="2"/>
        <scheme val="minor"/>
      </rPr>
      <t xml:space="preserve">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</si>
</sst>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:"/>
    <numFmt numFmtId="167" formatCode="0.00\x"/>
    <numFmt numFmtId="168" formatCode="0.000"/>
  </numFmts>
  <fonts count="17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theme="4" tint="0.79998168889431442"/>
      <name val="Calibri"/>
      <family val="2"/>
      <scheme val="minor"/>
    </font>
    <font>
      <sz val="11"/>
      <color rgb="FF606F7B"/>
      <name val="Arial"/>
      <family val="2"/>
    </font>
    <font>
      <sz val="11"/>
      <color rgb="FF737373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645DF9"/>
      </top>
      <bottom style="medium">
        <color rgb="FF645DF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5" borderId="3" applyNumberFormat="0" applyAlignment="0" applyProtection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Font="1"/>
    <xf numFmtId="0" fontId="11" fillId="6" borderId="0" xfId="0" applyFont="1" applyFill="1"/>
    <xf numFmtId="0" fontId="10" fillId="6" borderId="0" xfId="0" applyFont="1" applyFill="1"/>
    <xf numFmtId="0" fontId="8" fillId="9" borderId="3" xfId="2" applyFill="1"/>
    <xf numFmtId="0" fontId="0" fillId="9" borderId="0" xfId="0" applyFill="1"/>
    <xf numFmtId="164" fontId="3" fillId="3" borderId="1" xfId="0" applyNumberFormat="1" applyFont="1" applyFill="1" applyBorder="1" applyAlignment="1">
      <alignment horizontal="left" vertical="center" indent="2"/>
    </xf>
    <xf numFmtId="164" fontId="3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 wrapText="1"/>
    </xf>
    <xf numFmtId="164" fontId="5" fillId="4" borderId="0" xfId="0" applyNumberFormat="1" applyFont="1" applyFill="1" applyAlignment="1">
      <alignment horizontal="left" vertical="center" indent="2"/>
    </xf>
    <xf numFmtId="164" fontId="7" fillId="4" borderId="0" xfId="1" applyNumberFormat="1" applyFill="1" applyAlignment="1">
      <alignment horizontal="left" vertical="center"/>
    </xf>
    <xf numFmtId="164" fontId="5" fillId="4" borderId="0" xfId="0" applyNumberFormat="1" applyFont="1" applyFill="1" applyAlignment="1">
      <alignment horizontal="right" vertical="center" wrapText="1"/>
    </xf>
    <xf numFmtId="164" fontId="6" fillId="3" borderId="0" xfId="0" applyNumberFormat="1" applyFont="1" applyFill="1" applyAlignment="1">
      <alignment horizontal="left" vertical="center" indent="2"/>
    </xf>
    <xf numFmtId="164" fontId="7" fillId="3" borderId="0" xfId="1" applyNumberFormat="1" applyFill="1" applyAlignment="1">
      <alignment horizontal="left" vertical="center"/>
    </xf>
    <xf numFmtId="164" fontId="6" fillId="3" borderId="0" xfId="0" applyNumberFormat="1" applyFont="1" applyFill="1" applyAlignment="1">
      <alignment horizontal="right" vertical="center" wrapText="1"/>
    </xf>
    <xf numFmtId="164" fontId="6" fillId="4" borderId="0" xfId="0" applyNumberFormat="1" applyFont="1" applyFill="1" applyAlignment="1">
      <alignment horizontal="left" vertical="center" indent="2"/>
    </xf>
    <xf numFmtId="164" fontId="6" fillId="4" borderId="0" xfId="0" applyNumberFormat="1" applyFont="1" applyFill="1" applyAlignment="1">
      <alignment horizontal="right" vertical="center" wrapText="1"/>
    </xf>
    <xf numFmtId="164" fontId="6" fillId="4" borderId="2" xfId="0" applyNumberFormat="1" applyFont="1" applyFill="1" applyBorder="1" applyAlignment="1">
      <alignment horizontal="left" vertical="center" indent="2"/>
    </xf>
    <xf numFmtId="164" fontId="7" fillId="4" borderId="2" xfId="1" applyNumberForma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right" vertical="center" wrapText="1"/>
    </xf>
    <xf numFmtId="167" fontId="8" fillId="9" borderId="3" xfId="2" applyNumberFormat="1" applyFill="1"/>
    <xf numFmtId="167" fontId="0" fillId="0" borderId="0" xfId="0" applyNumberFormat="1" applyFont="1"/>
    <xf numFmtId="0" fontId="12" fillId="7" borderId="0" xfId="0" applyFont="1" applyFill="1"/>
    <xf numFmtId="167" fontId="12" fillId="7" borderId="0" xfId="0" applyNumberFormat="1" applyFont="1" applyFill="1"/>
    <xf numFmtId="0" fontId="13" fillId="0" borderId="0" xfId="0" applyFont="1"/>
    <xf numFmtId="0" fontId="14" fillId="8" borderId="0" xfId="0" applyFont="1" applyFill="1"/>
    <xf numFmtId="0" fontId="9" fillId="0" borderId="0" xfId="0" applyFont="1"/>
    <xf numFmtId="2" fontId="0" fillId="0" borderId="0" xfId="0" applyNumberFormat="1" applyFont="1"/>
    <xf numFmtId="168" fontId="0" fillId="0" borderId="0" xfId="0" applyNumberFormat="1" applyFont="1"/>
    <xf numFmtId="0" fontId="16" fillId="0" borderId="0" xfId="0" applyFont="1"/>
    <xf numFmtId="0" fontId="0" fillId="10" borderId="0" xfId="0" applyFill="1"/>
  </cellXfs>
  <cellStyles count="3">
    <cellStyle name="Check Cell" xfId="2" builtinId="2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screener.in/company/ABLBL/consolidated/" TargetMode="External"/><Relationship Id="rId7" Type="http://schemas.openxmlformats.org/officeDocument/2006/relationships/hyperlink" Target="https://www.screener.in/company/ABFRL/consolidated/" TargetMode="External"/><Relationship Id="rId2" Type="http://schemas.openxmlformats.org/officeDocument/2006/relationships/hyperlink" Target="https://www.screener.in/company/LENSKART/consolidated/" TargetMode="External"/><Relationship Id="rId1" Type="http://schemas.openxmlformats.org/officeDocument/2006/relationships/hyperlink" Target="https://www.screener.in/company/TRENT/consolidated/" TargetMode="External"/><Relationship Id="rId6" Type="http://schemas.openxmlformats.org/officeDocument/2006/relationships/hyperlink" Target="https://www.screener.in/company/V2RETAIL/" TargetMode="External"/><Relationship Id="rId5" Type="http://schemas.openxmlformats.org/officeDocument/2006/relationships/hyperlink" Target="https://www.screener.in/company/AVL/" TargetMode="External"/><Relationship Id="rId4" Type="http://schemas.openxmlformats.org/officeDocument/2006/relationships/hyperlink" Target="https://www.screener.in/company/MANYAV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E39"/>
  <sheetViews>
    <sheetView showGridLines="0" tabSelected="1" workbookViewId="0"/>
  </sheetViews>
  <sheetFormatPr defaultRowHeight="14.4" x14ac:dyDescent="0.3"/>
  <cols>
    <col min="2" max="2" width="17.33203125" customWidth="1"/>
    <col min="3" max="3" width="14.44140625" customWidth="1"/>
    <col min="4" max="4" width="12" customWidth="1"/>
    <col min="5" max="5" width="11" customWidth="1"/>
    <col min="6" max="6" width="17.21875" customWidth="1"/>
    <col min="7" max="7" width="10.88671875" customWidth="1"/>
    <col min="8" max="8" width="9" customWidth="1"/>
    <col min="11" max="11" width="10.6640625" customWidth="1"/>
    <col min="12" max="12" width="10" customWidth="1"/>
    <col min="13" max="13" width="10.6640625" customWidth="1"/>
  </cols>
  <sheetData>
    <row r="5" spans="1:23" ht="36.6" x14ac:dyDescent="0.7">
      <c r="A5" s="2"/>
      <c r="B5" s="2" t="s">
        <v>0</v>
      </c>
      <c r="C5" s="2"/>
      <c r="D5" s="2"/>
      <c r="E5" s="2"/>
      <c r="F5" s="2"/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3" ht="18.600000000000001" thickBot="1" x14ac:dyDescent="0.4">
      <c r="A7" s="4"/>
      <c r="B7" s="4"/>
      <c r="C7" s="5" t="s">
        <v>37</v>
      </c>
      <c r="D7" s="5"/>
      <c r="E7" s="5"/>
      <c r="F7" s="5"/>
      <c r="G7" s="5"/>
      <c r="H7" s="5" t="s">
        <v>38</v>
      </c>
      <c r="I7" s="5"/>
      <c r="J7" s="5"/>
      <c r="K7" s="5"/>
      <c r="L7" s="5" t="s">
        <v>39</v>
      </c>
      <c r="M7" s="5"/>
      <c r="N7" s="4"/>
    </row>
    <row r="8" spans="1:23" ht="15.6" thickTop="1" thickBot="1" x14ac:dyDescent="0.35">
      <c r="A8" s="6" t="s">
        <v>42</v>
      </c>
      <c r="B8" s="6" t="s">
        <v>25</v>
      </c>
      <c r="C8" s="6" t="s">
        <v>40</v>
      </c>
      <c r="D8" s="6" t="s">
        <v>26</v>
      </c>
      <c r="E8" s="6" t="s">
        <v>27</v>
      </c>
      <c r="F8" s="6" t="s">
        <v>28</v>
      </c>
      <c r="G8" s="6" t="s">
        <v>29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35</v>
      </c>
      <c r="M8" s="6" t="s">
        <v>36</v>
      </c>
      <c r="N8" s="6" t="s">
        <v>4</v>
      </c>
    </row>
    <row r="9" spans="1:23" ht="15.6" thickTop="1" thickBot="1" x14ac:dyDescent="0.35">
      <c r="A9" s="6"/>
      <c r="B9" s="6"/>
      <c r="C9" s="6"/>
      <c r="D9" s="6"/>
      <c r="E9" s="6"/>
      <c r="F9" s="6"/>
      <c r="G9" s="6" t="s">
        <v>30</v>
      </c>
      <c r="H9" s="6" t="s">
        <v>41</v>
      </c>
      <c r="I9" s="6" t="s">
        <v>41</v>
      </c>
      <c r="J9" s="6"/>
      <c r="K9" s="6"/>
      <c r="L9" s="6"/>
      <c r="M9" s="6"/>
      <c r="N9" s="6"/>
    </row>
    <row r="10" spans="1:23" ht="15.6" thickTop="1" thickBot="1" x14ac:dyDescent="0.35">
      <c r="A10" s="7">
        <v>1</v>
      </c>
      <c r="B10" s="6" t="str">
        <f>U34</f>
        <v>Lenskart Solut.</v>
      </c>
      <c r="C10" s="6">
        <f>V34</f>
        <v>543.65</v>
      </c>
      <c r="D10" s="6">
        <f>E10/C10</f>
        <v>174.12721420031269</v>
      </c>
      <c r="E10" s="6">
        <f>X34</f>
        <v>94664.26</v>
      </c>
      <c r="F10" s="6">
        <f>AC34</f>
        <v>3096.6</v>
      </c>
      <c r="G10" s="6">
        <f>H10-E10+F10</f>
        <v>4649.5199999999986</v>
      </c>
      <c r="H10" s="6">
        <f>X25</f>
        <v>96217.18</v>
      </c>
      <c r="I10" s="6">
        <f>AE34</f>
        <v>8814.0400000000009</v>
      </c>
      <c r="J10" s="6">
        <f>H10/M10</f>
        <v>1922.8053557154276</v>
      </c>
      <c r="K10" s="6">
        <f>Z25</f>
        <v>500.95</v>
      </c>
      <c r="L10" s="22">
        <f>H10/I10</f>
        <v>10.916353908083011</v>
      </c>
      <c r="M10" s="22">
        <f>W25</f>
        <v>50.04</v>
      </c>
      <c r="N10" s="22">
        <f>W34</f>
        <v>188.18</v>
      </c>
    </row>
    <row r="11" spans="1:23" ht="15.6" thickTop="1" thickBot="1" x14ac:dyDescent="0.35">
      <c r="A11" s="6">
        <v>2</v>
      </c>
      <c r="B11" s="6" t="str">
        <f>U35</f>
        <v>A B Lifestyle</v>
      </c>
      <c r="C11" s="6">
        <f>V35</f>
        <v>95.55</v>
      </c>
      <c r="D11" s="6">
        <f t="shared" ref="D11:D15" si="0">E11/C11</f>
        <v>122.19330193615907</v>
      </c>
      <c r="E11" s="6">
        <f>X35</f>
        <v>11675.57</v>
      </c>
      <c r="F11" s="6">
        <f>AC35</f>
        <v>3018.1</v>
      </c>
      <c r="G11" s="6">
        <f t="shared" ref="G11:G15" si="1">H11-E11+F11</f>
        <v>5944.6900000000005</v>
      </c>
      <c r="H11" s="6">
        <f>X26</f>
        <v>14602.16</v>
      </c>
      <c r="I11" s="6">
        <f>AE35</f>
        <v>8395.81</v>
      </c>
      <c r="J11" s="6">
        <f t="shared" ref="J11:J15" si="2">H11/M11</f>
        <v>1428.7827788649706</v>
      </c>
      <c r="K11" s="6">
        <f>Z26</f>
        <v>171.05</v>
      </c>
      <c r="L11" s="22">
        <f t="shared" ref="L11:L15" si="3">H11/I11</f>
        <v>1.7392199204126821</v>
      </c>
      <c r="M11" s="22">
        <f>W26</f>
        <v>10.220000000000001</v>
      </c>
      <c r="N11" s="22">
        <f>W35</f>
        <v>55.83</v>
      </c>
    </row>
    <row r="12" spans="1:23" ht="15.6" thickTop="1" thickBot="1" x14ac:dyDescent="0.35">
      <c r="A12" s="6">
        <v>3</v>
      </c>
      <c r="B12" s="6" t="str">
        <f>U36</f>
        <v>Vedant Fashions</v>
      </c>
      <c r="C12" s="6">
        <f>V36</f>
        <v>392.15</v>
      </c>
      <c r="D12" s="6">
        <f t="shared" si="0"/>
        <v>24.276169832972077</v>
      </c>
      <c r="E12" s="6">
        <f>X36</f>
        <v>9519.9</v>
      </c>
      <c r="F12" s="6">
        <f>AC36</f>
        <v>457.59</v>
      </c>
      <c r="G12" s="6">
        <f t="shared" si="1"/>
        <v>904.08999999999992</v>
      </c>
      <c r="H12" s="6">
        <f>X27</f>
        <v>9966.4</v>
      </c>
      <c r="I12" s="6">
        <f>AE36</f>
        <v>1435.48</v>
      </c>
      <c r="J12" s="6">
        <f t="shared" si="2"/>
        <v>721.67994207096297</v>
      </c>
      <c r="K12" s="6">
        <f>Z27</f>
        <v>375.54</v>
      </c>
      <c r="L12" s="22">
        <f t="shared" si="3"/>
        <v>6.942904115696491</v>
      </c>
      <c r="M12" s="22">
        <f>W27</f>
        <v>13.81</v>
      </c>
      <c r="N12" s="22">
        <f>W36</f>
        <v>25.35</v>
      </c>
    </row>
    <row r="13" spans="1:23" ht="15.6" thickTop="1" thickBot="1" x14ac:dyDescent="0.35">
      <c r="A13" s="6">
        <v>4</v>
      </c>
      <c r="B13" s="6" t="str">
        <f>U37</f>
        <v>Aditya Vision</v>
      </c>
      <c r="C13" s="6">
        <f>V37</f>
        <v>635.79999999999995</v>
      </c>
      <c r="D13" s="6">
        <f t="shared" si="0"/>
        <v>12.905630701478453</v>
      </c>
      <c r="E13" s="6">
        <f>X37</f>
        <v>8205.4</v>
      </c>
      <c r="F13" s="6">
        <f>AC37</f>
        <v>572.79999999999995</v>
      </c>
      <c r="G13" s="6">
        <f t="shared" si="1"/>
        <v>1016.9499999999996</v>
      </c>
      <c r="H13" s="6">
        <f>X28</f>
        <v>8649.5499999999993</v>
      </c>
      <c r="I13" s="6">
        <f>AE37</f>
        <v>2671.62</v>
      </c>
      <c r="J13" s="6">
        <f t="shared" si="2"/>
        <v>237.75563496426605</v>
      </c>
      <c r="K13" s="6">
        <f>Z28</f>
        <v>116.92</v>
      </c>
      <c r="L13" s="22">
        <f t="shared" si="3"/>
        <v>3.2375674684273958</v>
      </c>
      <c r="M13" s="22">
        <f>W28</f>
        <v>36.380000000000003</v>
      </c>
      <c r="N13" s="22">
        <f>W37</f>
        <v>69.510000000000005</v>
      </c>
    </row>
    <row r="14" spans="1:23" ht="15.6" thickTop="1" thickBot="1" x14ac:dyDescent="0.35">
      <c r="A14" s="6">
        <v>5</v>
      </c>
      <c r="B14" s="6" t="str">
        <f>U38</f>
        <v>V2 Retail</v>
      </c>
      <c r="C14" s="6">
        <f>V38</f>
        <v>220.4</v>
      </c>
      <c r="D14" s="6">
        <f t="shared" si="0"/>
        <v>36.386433756805808</v>
      </c>
      <c r="E14" s="6">
        <f>X38</f>
        <v>8019.57</v>
      </c>
      <c r="F14" s="6">
        <f>AC38</f>
        <v>994.59</v>
      </c>
      <c r="G14" s="6">
        <f t="shared" si="1"/>
        <v>1982.9500000000007</v>
      </c>
      <c r="H14" s="6">
        <f>X29</f>
        <v>9007.93</v>
      </c>
      <c r="I14" s="6">
        <f>AE38</f>
        <v>3060.03</v>
      </c>
      <c r="J14" s="6">
        <f t="shared" si="2"/>
        <v>474.85134422772802</v>
      </c>
      <c r="K14" s="6">
        <f>Z29</f>
        <v>163.34</v>
      </c>
      <c r="L14" s="22">
        <f t="shared" si="3"/>
        <v>2.94373911366882</v>
      </c>
      <c r="M14" s="22">
        <f>W29</f>
        <v>18.97</v>
      </c>
      <c r="N14" s="22">
        <f>W38</f>
        <v>53.53</v>
      </c>
    </row>
    <row r="15" spans="1:23" ht="15.6" thickTop="1" thickBot="1" x14ac:dyDescent="0.35">
      <c r="A15" s="6">
        <v>6</v>
      </c>
      <c r="B15" s="6" t="str">
        <f>U39</f>
        <v>Aditya Bir. Fas.</v>
      </c>
      <c r="C15" s="6">
        <f>V39</f>
        <v>60.05</v>
      </c>
      <c r="D15" s="6">
        <f t="shared" si="0"/>
        <v>121.92622814321399</v>
      </c>
      <c r="E15" s="6">
        <f>X39</f>
        <v>7321.67</v>
      </c>
      <c r="F15" s="6">
        <f>AC39</f>
        <v>6189.11</v>
      </c>
      <c r="G15" s="6">
        <f t="shared" si="1"/>
        <v>11897.71</v>
      </c>
      <c r="H15" s="6">
        <f>X30</f>
        <v>13030.27</v>
      </c>
      <c r="I15" s="6">
        <f>AE39</f>
        <v>8176.92</v>
      </c>
      <c r="J15" s="6">
        <f t="shared" si="2"/>
        <v>966.63724035608311</v>
      </c>
      <c r="K15" s="6">
        <f>Z30</f>
        <v>-829.89</v>
      </c>
      <c r="L15" s="22">
        <f t="shared" si="3"/>
        <v>1.5935425563659666</v>
      </c>
      <c r="M15" s="22">
        <f>W30</f>
        <v>13.48</v>
      </c>
      <c r="N15" s="22">
        <f>W39</f>
        <v>0</v>
      </c>
    </row>
    <row r="16" spans="1:23" ht="15.6" thickTop="1" thickBo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22"/>
      <c r="M16" s="22"/>
      <c r="N16" s="22"/>
    </row>
    <row r="17" spans="1:31" ht="15.6" thickTop="1" thickBot="1" x14ac:dyDescent="0.35">
      <c r="A17" s="6"/>
      <c r="B17" s="6" t="s">
        <v>43</v>
      </c>
      <c r="C17" s="6"/>
      <c r="D17" s="6"/>
      <c r="E17" s="6"/>
      <c r="F17" s="6"/>
      <c r="G17" s="6"/>
      <c r="H17" s="6"/>
      <c r="I17" s="6"/>
      <c r="J17" s="6"/>
      <c r="K17" s="6"/>
      <c r="L17" s="22">
        <f t="shared" ref="L17:N17" si="4">AVERAGE(L10:L15)</f>
        <v>4.5622211804423944</v>
      </c>
      <c r="M17" s="22">
        <f t="shared" si="4"/>
        <v>23.816666666666663</v>
      </c>
      <c r="N17" s="22">
        <f t="shared" si="4"/>
        <v>65.399999999999991</v>
      </c>
    </row>
    <row r="18" spans="1:31" ht="15.6" thickTop="1" thickBot="1" x14ac:dyDescent="0.35">
      <c r="A18" s="6"/>
      <c r="B18" s="6" t="s">
        <v>44</v>
      </c>
      <c r="C18" s="6"/>
      <c r="D18" s="6"/>
      <c r="E18" s="6"/>
      <c r="F18" s="6"/>
      <c r="G18" s="6"/>
      <c r="H18" s="6"/>
      <c r="I18" s="6"/>
      <c r="J18" s="6"/>
      <c r="K18" s="6"/>
      <c r="L18" s="22">
        <f t="shared" ref="L18:N18" si="5">MEDIAN(L10:L15)</f>
        <v>3.0906532910481079</v>
      </c>
      <c r="M18" s="22">
        <f t="shared" si="5"/>
        <v>16.39</v>
      </c>
      <c r="N18" s="22">
        <f t="shared" si="5"/>
        <v>54.68</v>
      </c>
    </row>
    <row r="19" spans="1:31" ht="15" thickTop="1" x14ac:dyDescent="0.3"/>
    <row r="21" spans="1:31" ht="15.6" x14ac:dyDescent="0.3">
      <c r="B21" s="24" t="s">
        <v>45</v>
      </c>
      <c r="C21" s="24">
        <v>2903</v>
      </c>
      <c r="D21" s="24">
        <f>E21/C21</f>
        <v>53.325180847399245</v>
      </c>
      <c r="E21" s="24">
        <v>154803</v>
      </c>
      <c r="F21" s="24">
        <v>2561.25</v>
      </c>
      <c r="G21" s="24">
        <f>H21-E21+F21</f>
        <v>4836.4899999999907</v>
      </c>
      <c r="H21" s="24">
        <v>157078.24</v>
      </c>
      <c r="I21" s="24">
        <v>20074.21</v>
      </c>
      <c r="J21" s="24">
        <f>H21/M21</f>
        <v>3839.6049865558543</v>
      </c>
      <c r="K21" s="24">
        <v>1721.33</v>
      </c>
      <c r="L21" s="25">
        <f>H21/I21</f>
        <v>7.8248777909566556</v>
      </c>
      <c r="M21" s="25">
        <v>40.909999999999997</v>
      </c>
      <c r="N21" s="25">
        <v>89.68</v>
      </c>
    </row>
    <row r="23" spans="1:31" ht="42" thickBot="1" x14ac:dyDescent="0.35">
      <c r="V23" s="10" t="s">
        <v>13</v>
      </c>
      <c r="W23" s="10" t="s">
        <v>14</v>
      </c>
      <c r="X23" s="10" t="s">
        <v>15</v>
      </c>
      <c r="Y23" s="10" t="s">
        <v>16</v>
      </c>
      <c r="Z23" s="10" t="s">
        <v>17</v>
      </c>
    </row>
    <row r="24" spans="1:31" x14ac:dyDescent="0.3">
      <c r="V24" s="13">
        <v>49.95</v>
      </c>
      <c r="W24" s="13">
        <v>40.909999999999997</v>
      </c>
      <c r="X24" s="13">
        <v>157078.24</v>
      </c>
      <c r="Y24" s="13">
        <v>1726.25</v>
      </c>
      <c r="Z24" s="13">
        <v>1721.33</v>
      </c>
    </row>
    <row r="25" spans="1:31" ht="15.6" x14ac:dyDescent="0.3">
      <c r="A25" s="27"/>
      <c r="B25" s="27" t="s">
        <v>46</v>
      </c>
      <c r="C25" s="27" t="s">
        <v>57</v>
      </c>
      <c r="D25" s="27" t="s">
        <v>55</v>
      </c>
      <c r="E25" s="27" t="s">
        <v>47</v>
      </c>
      <c r="F25" s="27" t="s">
        <v>48</v>
      </c>
      <c r="G25" s="27" t="s">
        <v>58</v>
      </c>
      <c r="H25" s="27" t="s">
        <v>49</v>
      </c>
      <c r="I25" s="27"/>
      <c r="V25" s="16">
        <v>49.95</v>
      </c>
      <c r="W25" s="16">
        <v>50.04</v>
      </c>
      <c r="X25" s="16">
        <v>96217.18</v>
      </c>
      <c r="Y25" s="16">
        <v>503.04</v>
      </c>
      <c r="Z25" s="16">
        <v>500.95</v>
      </c>
    </row>
    <row r="26" spans="1:31" x14ac:dyDescent="0.3">
      <c r="D26" s="28" t="s">
        <v>56</v>
      </c>
      <c r="E26" s="28"/>
      <c r="F26" s="28"/>
      <c r="G26" s="28" t="s">
        <v>59</v>
      </c>
      <c r="H26" s="28" t="s">
        <v>60</v>
      </c>
      <c r="V26" s="18">
        <v>49.95</v>
      </c>
      <c r="W26" s="18">
        <v>10.220000000000001</v>
      </c>
      <c r="X26" s="18">
        <v>14602.16</v>
      </c>
      <c r="Y26" s="18">
        <v>209.14</v>
      </c>
      <c r="Z26" s="18">
        <v>171.05</v>
      </c>
    </row>
    <row r="27" spans="1:31" x14ac:dyDescent="0.3">
      <c r="B27" s="28" t="s">
        <v>35</v>
      </c>
      <c r="C27" s="23">
        <f t="array" ref="C27:C29">TRANSPOSE(L18:N18)</f>
        <v>3.0906532910481079</v>
      </c>
      <c r="D27" s="29">
        <f>H21*C27</f>
        <v>485474.37940804451</v>
      </c>
      <c r="E27" s="3">
        <f>F21-G21</f>
        <v>-2275.2399999999907</v>
      </c>
      <c r="F27" s="29">
        <f>D27+E27</f>
        <v>483199.13940804452</v>
      </c>
      <c r="G27" s="30">
        <f t="array" ref="G27:G29">D21</f>
        <v>53.325180847399245</v>
      </c>
      <c r="H27" s="3">
        <f>F27/G27</f>
        <v>9061.3689767094511</v>
      </c>
      <c r="V27" s="16">
        <v>49.95</v>
      </c>
      <c r="W27" s="16">
        <v>13.81</v>
      </c>
      <c r="X27" s="16">
        <v>9966.4</v>
      </c>
      <c r="Y27" s="16">
        <v>375.54</v>
      </c>
      <c r="Z27" s="16">
        <v>375.54</v>
      </c>
    </row>
    <row r="28" spans="1:31" x14ac:dyDescent="0.3">
      <c r="B28" s="28" t="s">
        <v>36</v>
      </c>
      <c r="C28" s="23">
        <v>16.39</v>
      </c>
      <c r="D28" s="29">
        <f>H21*C28</f>
        <v>2574512.3536</v>
      </c>
      <c r="E28" s="3">
        <v>-2275.2399999999998</v>
      </c>
      <c r="F28" s="29">
        <f>D28+E28</f>
        <v>2572237.1135999998</v>
      </c>
      <c r="G28" s="30">
        <v>53.325180847399245</v>
      </c>
      <c r="H28" s="3">
        <f t="shared" ref="H28:H29" si="6">F28/G28</f>
        <v>48236.81931733105</v>
      </c>
      <c r="V28" s="18">
        <v>49.95</v>
      </c>
      <c r="W28" s="18">
        <v>36.380000000000003</v>
      </c>
      <c r="X28" s="18">
        <v>8649.5499999999993</v>
      </c>
      <c r="Y28" s="18">
        <v>118.05</v>
      </c>
      <c r="Z28" s="18">
        <v>116.92</v>
      </c>
    </row>
    <row r="29" spans="1:31" ht="15" thickBot="1" x14ac:dyDescent="0.35">
      <c r="B29" s="28" t="s">
        <v>50</v>
      </c>
      <c r="C29" s="23">
        <v>54.68</v>
      </c>
      <c r="D29" s="29">
        <f>F29+E29</f>
        <v>91847.084399999992</v>
      </c>
      <c r="E29" s="3">
        <v>-2275.2399999999998</v>
      </c>
      <c r="F29" s="29">
        <f>C29*K21</f>
        <v>94122.324399999998</v>
      </c>
      <c r="G29" s="30">
        <v>53.325180847399245</v>
      </c>
      <c r="H29" s="3">
        <f t="shared" si="6"/>
        <v>1765.0633885208943</v>
      </c>
      <c r="V29" s="16">
        <v>49.95</v>
      </c>
      <c r="W29" s="16">
        <v>18.97</v>
      </c>
      <c r="X29" s="16">
        <v>9007.93</v>
      </c>
      <c r="Y29" s="16">
        <v>149.82</v>
      </c>
      <c r="Z29" s="16">
        <v>163.34</v>
      </c>
    </row>
    <row r="30" spans="1:31" ht="15" thickBot="1" x14ac:dyDescent="0.35">
      <c r="V30" s="21">
        <v>49.95</v>
      </c>
      <c r="W30" s="21">
        <v>13.48</v>
      </c>
      <c r="X30" s="21">
        <v>13030.27</v>
      </c>
      <c r="Y30" s="21">
        <v>-740.26</v>
      </c>
      <c r="Z30" s="21">
        <v>-829.89</v>
      </c>
    </row>
    <row r="32" spans="1:31" ht="32.4" customHeight="1" thickBot="1" x14ac:dyDescent="0.45">
      <c r="B32" s="31" t="s">
        <v>61</v>
      </c>
      <c r="C32" s="26"/>
      <c r="T32" s="8" t="s">
        <v>1</v>
      </c>
      <c r="U32" s="9" t="s">
        <v>2</v>
      </c>
      <c r="V32" s="10" t="s">
        <v>3</v>
      </c>
      <c r="W32" s="10" t="s">
        <v>4</v>
      </c>
      <c r="X32" s="10" t="s">
        <v>5</v>
      </c>
      <c r="Y32" s="10" t="s">
        <v>6</v>
      </c>
      <c r="Z32" s="10" t="s">
        <v>7</v>
      </c>
      <c r="AA32" s="10" t="s">
        <v>8</v>
      </c>
      <c r="AB32" s="10" t="s">
        <v>9</v>
      </c>
      <c r="AC32" s="10" t="s">
        <v>10</v>
      </c>
      <c r="AD32" s="10" t="s">
        <v>11</v>
      </c>
      <c r="AE32" s="10" t="s">
        <v>12</v>
      </c>
    </row>
    <row r="33" spans="2:31" x14ac:dyDescent="0.3">
      <c r="T33" s="11">
        <v>1</v>
      </c>
      <c r="U33" s="12" t="s">
        <v>18</v>
      </c>
      <c r="V33" s="13">
        <v>2902.75</v>
      </c>
      <c r="W33" s="13">
        <v>89.68</v>
      </c>
      <c r="X33" s="13">
        <v>154799.99</v>
      </c>
      <c r="Y33" s="13">
        <v>413.1</v>
      </c>
      <c r="Z33" s="13">
        <v>25.83</v>
      </c>
      <c r="AA33" s="13">
        <v>5027.99</v>
      </c>
      <c r="AB33" s="13">
        <v>28.34</v>
      </c>
      <c r="AC33" s="13">
        <v>2561.25</v>
      </c>
      <c r="AD33" s="13">
        <v>63.39</v>
      </c>
      <c r="AE33" s="13">
        <v>20074.21</v>
      </c>
    </row>
    <row r="34" spans="2:31" x14ac:dyDescent="0.3">
      <c r="B34" s="32" t="s">
        <v>62</v>
      </c>
      <c r="C34" s="32"/>
      <c r="D34" s="32"/>
      <c r="E34" s="32"/>
      <c r="F34" s="32"/>
      <c r="G34" s="32"/>
      <c r="H34" s="32"/>
      <c r="I34" s="32"/>
      <c r="T34" s="14">
        <v>2</v>
      </c>
      <c r="U34" s="15" t="s">
        <v>19</v>
      </c>
      <c r="V34" s="16">
        <v>543.65</v>
      </c>
      <c r="W34" s="16">
        <v>188.18</v>
      </c>
      <c r="X34" s="16">
        <v>94664.26</v>
      </c>
      <c r="Y34" s="16">
        <v>203.62</v>
      </c>
      <c r="Z34" s="16">
        <v>-8.5</v>
      </c>
      <c r="AA34" s="16">
        <v>2515.71</v>
      </c>
      <c r="AB34" s="16">
        <v>8.44</v>
      </c>
      <c r="AC34" s="16">
        <v>3096.6</v>
      </c>
      <c r="AD34" s="16">
        <v>110.03</v>
      </c>
      <c r="AE34" s="16">
        <v>8814.0400000000009</v>
      </c>
    </row>
    <row r="35" spans="2:31" x14ac:dyDescent="0.3">
      <c r="B35" s="32" t="s">
        <v>63</v>
      </c>
      <c r="C35" s="32"/>
      <c r="D35" s="32"/>
      <c r="E35" s="32"/>
      <c r="F35" s="32"/>
      <c r="G35" s="32"/>
      <c r="H35" s="32"/>
      <c r="I35" s="32"/>
      <c r="T35" s="17">
        <v>3</v>
      </c>
      <c r="U35" s="12" t="s">
        <v>20</v>
      </c>
      <c r="V35" s="18">
        <v>95.55</v>
      </c>
      <c r="W35" s="18">
        <v>55.83</v>
      </c>
      <c r="X35" s="18">
        <v>11675.57</v>
      </c>
      <c r="Y35" s="18">
        <v>54.52</v>
      </c>
      <c r="Z35" s="18">
        <v>57.68</v>
      </c>
      <c r="AA35" s="18">
        <v>2174.16</v>
      </c>
      <c r="AB35" s="18">
        <v>14.67</v>
      </c>
      <c r="AC35" s="18">
        <v>3018.1</v>
      </c>
      <c r="AD35" s="18">
        <v>23.04</v>
      </c>
      <c r="AE35" s="18">
        <v>8395.81</v>
      </c>
    </row>
    <row r="36" spans="2:31" x14ac:dyDescent="0.3">
      <c r="T36" s="14">
        <v>4</v>
      </c>
      <c r="U36" s="15" t="s">
        <v>21</v>
      </c>
      <c r="V36" s="16">
        <v>392.15</v>
      </c>
      <c r="W36" s="16">
        <v>25.35</v>
      </c>
      <c r="X36" s="16">
        <v>9519.9</v>
      </c>
      <c r="Y36" s="16">
        <v>114.3</v>
      </c>
      <c r="Z36" s="16">
        <v>13.05</v>
      </c>
      <c r="AA36" s="16">
        <v>399.43</v>
      </c>
      <c r="AB36" s="16">
        <v>23.55</v>
      </c>
      <c r="AC36" s="16">
        <v>457.59</v>
      </c>
      <c r="AD36" s="16">
        <v>18.05</v>
      </c>
      <c r="AE36" s="16">
        <v>1435.48</v>
      </c>
    </row>
    <row r="37" spans="2:31" x14ac:dyDescent="0.3">
      <c r="T37" s="17">
        <v>5</v>
      </c>
      <c r="U37" s="12" t="s">
        <v>22</v>
      </c>
      <c r="V37" s="18">
        <v>635.79999999999995</v>
      </c>
      <c r="W37" s="18">
        <v>69.510000000000005</v>
      </c>
      <c r="X37" s="18">
        <v>8205.4</v>
      </c>
      <c r="Y37" s="18">
        <v>21.73</v>
      </c>
      <c r="Z37" s="18">
        <v>35.979999999999997</v>
      </c>
      <c r="AA37" s="18">
        <v>625.03</v>
      </c>
      <c r="AB37" s="18">
        <v>16.97</v>
      </c>
      <c r="AC37" s="18">
        <v>572.79999999999995</v>
      </c>
      <c r="AD37" s="18">
        <v>43.84</v>
      </c>
      <c r="AE37" s="18">
        <v>2671.62</v>
      </c>
    </row>
    <row r="38" spans="2:31" ht="15" thickBot="1" x14ac:dyDescent="0.35">
      <c r="T38" s="14">
        <v>6</v>
      </c>
      <c r="U38" s="15" t="s">
        <v>23</v>
      </c>
      <c r="V38" s="16">
        <v>220.4</v>
      </c>
      <c r="W38" s="16">
        <v>53.53</v>
      </c>
      <c r="X38" s="16">
        <v>8019.57</v>
      </c>
      <c r="Y38" s="16">
        <v>18.190000000000001</v>
      </c>
      <c r="Z38" s="16">
        <v>206</v>
      </c>
      <c r="AA38" s="16">
        <v>798.14</v>
      </c>
      <c r="AB38" s="16">
        <v>19.059999999999999</v>
      </c>
      <c r="AC38" s="16">
        <v>994.59</v>
      </c>
      <c r="AD38" s="16">
        <v>30.68</v>
      </c>
      <c r="AE38" s="16">
        <v>3060.03</v>
      </c>
    </row>
    <row r="39" spans="2:31" ht="15" thickBot="1" x14ac:dyDescent="0.35">
      <c r="T39" s="19">
        <v>7</v>
      </c>
      <c r="U39" s="20" t="s">
        <v>24</v>
      </c>
      <c r="V39" s="21">
        <v>60.05</v>
      </c>
      <c r="W39" s="21"/>
      <c r="X39" s="21">
        <v>7321.67</v>
      </c>
      <c r="Y39" s="21">
        <v>-163.81</v>
      </c>
      <c r="Z39" s="21">
        <v>-13.52</v>
      </c>
      <c r="AA39" s="21">
        <v>1990.13</v>
      </c>
      <c r="AB39" s="21">
        <v>-3.07</v>
      </c>
      <c r="AC39" s="21">
        <v>6189.11</v>
      </c>
      <c r="AD39" s="21">
        <v>-34.97</v>
      </c>
      <c r="AE39" s="21">
        <v>8176.92</v>
      </c>
    </row>
  </sheetData>
  <hyperlinks>
    <hyperlink ref="U33" r:id="rId1" display="https://www.screener.in/company/TRENT/consolidated/"/>
    <hyperlink ref="U34" r:id="rId2" display="https://www.screener.in/company/LENSKART/consolidated/"/>
    <hyperlink ref="U35" r:id="rId3" display="https://www.screener.in/company/ABLBL/consolidated/"/>
    <hyperlink ref="U36" r:id="rId4" display="https://www.screener.in/company/MANYAVAR/"/>
    <hyperlink ref="U37" r:id="rId5" display="https://www.screener.in/company/AVL/"/>
    <hyperlink ref="U38" r:id="rId6" display="https://www.screener.in/company/V2RETAIL/"/>
    <hyperlink ref="U39" r:id="rId7" display="https://www.screener.in/company/ABFRL/consolidated/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2026-07-10T12:57:14Z</dcterms:created>
  <dcterms:modified xsi:type="dcterms:W3CDTF">2026-07-10T15:21:54Z</dcterms:modified>
</cp:coreProperties>
</file>